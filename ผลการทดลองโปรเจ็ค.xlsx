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ftk\OneDrive\Desktop\Project\ผลการทดลอง\"/>
    </mc:Choice>
  </mc:AlternateContent>
  <xr:revisionPtr revIDLastSave="0" documentId="13_ncr:1_{679B8D49-95CD-4501-B49C-60542F48132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750 Pieces" sheetId="1" r:id="rId1"/>
    <sheet name="750 Pieces (2)" sheetId="7" r:id="rId2"/>
    <sheet name="Results1" sheetId="2" r:id="rId3"/>
    <sheet name="Results2" sheetId="5" r:id="rId4"/>
    <sheet name="AI vs Human" sheetId="3" r:id="rId5"/>
    <sheet name="Worthiness Result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7" i="7" l="1" a="1"/>
  <c r="C917" i="7" a="1"/>
  <c r="B917" i="7" a="1"/>
  <c r="A917" i="7" a="1"/>
  <c r="D916" i="7" a="1"/>
  <c r="C916" i="7" a="1"/>
  <c r="B916" i="7" a="1"/>
  <c r="A916" i="7" a="1"/>
  <c r="D915" i="7" a="1"/>
  <c r="C915" i="7" a="1"/>
  <c r="B915" i="7" a="1"/>
  <c r="A915" i="7" a="1"/>
  <c r="D914" i="7" a="1"/>
  <c r="C914" i="7" a="1"/>
  <c r="B914" i="7" a="1"/>
  <c r="A914" i="7" a="1"/>
  <c r="D913" i="7" a="1"/>
  <c r="C913" i="7" a="1"/>
  <c r="B913" i="7" a="1"/>
  <c r="A913" i="7" a="1"/>
  <c r="D912" i="7" a="1"/>
  <c r="C912" i="7" a="1"/>
  <c r="B912" i="7" a="1"/>
  <c r="A912" i="7" a="1"/>
  <c r="D911" i="7" a="1"/>
  <c r="C911" i="7" a="1"/>
  <c r="B911" i="7" a="1"/>
  <c r="A911" i="7" a="1"/>
  <c r="D910" i="7" a="1"/>
  <c r="C910" i="7" a="1"/>
  <c r="B910" i="7" a="1"/>
  <c r="A910" i="7" a="1"/>
  <c r="D909" i="7" a="1"/>
  <c r="C909" i="7" a="1"/>
  <c r="B909" i="7" a="1"/>
  <c r="A909" i="7" a="1"/>
  <c r="D908" i="7" a="1"/>
  <c r="C908" i="7" a="1"/>
  <c r="B908" i="7" a="1"/>
  <c r="A908" i="7" a="1"/>
  <c r="D907" i="7" a="1"/>
  <c r="C907" i="7" a="1"/>
  <c r="B907" i="7" a="1"/>
  <c r="A907" i="7" a="1"/>
  <c r="D906" i="7" a="1"/>
  <c r="C906" i="7" a="1"/>
  <c r="B906" i="7" a="1"/>
  <c r="A906" i="7" a="1"/>
  <c r="D905" i="7" a="1"/>
  <c r="C905" i="7" a="1"/>
  <c r="B905" i="7" a="1"/>
  <c r="A905" i="7" a="1"/>
  <c r="D904" i="7" a="1"/>
  <c r="C904" i="7" a="1"/>
  <c r="B904" i="7" a="1"/>
  <c r="A904" i="7" a="1"/>
  <c r="D903" i="7" a="1"/>
  <c r="C903" i="7" a="1"/>
  <c r="B903" i="7" a="1"/>
  <c r="A903" i="7" a="1"/>
  <c r="D902" i="7" a="1"/>
  <c r="C902" i="7" a="1"/>
  <c r="B902" i="7" a="1"/>
  <c r="A902" i="7" a="1"/>
  <c r="D901" i="7" a="1"/>
  <c r="C901" i="7" a="1"/>
  <c r="B901" i="7" a="1"/>
  <c r="A901" i="7" a="1"/>
  <c r="D900" i="7" a="1"/>
  <c r="C900" i="7" a="1"/>
  <c r="B900" i="7" a="1"/>
  <c r="A900" i="7" a="1"/>
  <c r="D899" i="7" a="1"/>
  <c r="C899" i="7" a="1"/>
  <c r="B899" i="7" a="1"/>
  <c r="A899" i="7" a="1"/>
  <c r="D898" i="7" a="1"/>
  <c r="C898" i="7" a="1"/>
  <c r="B898" i="7" a="1"/>
  <c r="A898" i="7" a="1"/>
  <c r="D897" i="7" a="1"/>
  <c r="C897" i="7" a="1"/>
  <c r="B897" i="7" a="1"/>
  <c r="A897" i="7" a="1"/>
  <c r="D896" i="7" a="1"/>
  <c r="C896" i="7" a="1"/>
  <c r="B896" i="7" a="1"/>
  <c r="A896" i="7" a="1"/>
  <c r="D895" i="7" a="1"/>
  <c r="C895" i="7" a="1"/>
  <c r="B895" i="7" a="1"/>
  <c r="A895" i="7" a="1"/>
  <c r="D894" i="7" a="1"/>
  <c r="C894" i="7" a="1"/>
  <c r="B894" i="7" a="1"/>
  <c r="A894" i="7" a="1"/>
  <c r="D893" i="7" a="1"/>
  <c r="C893" i="7" a="1"/>
  <c r="B893" i="7" a="1"/>
  <c r="A893" i="7" a="1"/>
  <c r="D892" i="7" a="1"/>
  <c r="C892" i="7" a="1"/>
  <c r="B892" i="7" a="1"/>
  <c r="A892" i="7" a="1"/>
  <c r="D891" i="7" a="1"/>
  <c r="C891" i="7" a="1"/>
  <c r="B891" i="7" a="1"/>
  <c r="A891" i="7" a="1"/>
  <c r="D890" i="7" a="1"/>
  <c r="C890" i="7" a="1"/>
  <c r="B890" i="7" a="1"/>
  <c r="A890" i="7" a="1"/>
  <c r="D889" i="7" a="1"/>
  <c r="C889" i="7" a="1"/>
  <c r="B889" i="7" a="1"/>
  <c r="A889" i="7" a="1"/>
  <c r="D888" i="7" a="1"/>
  <c r="C888" i="7" a="1"/>
  <c r="B888" i="7" a="1"/>
  <c r="A888" i="7" a="1"/>
  <c r="D887" i="7" a="1"/>
  <c r="C887" i="7" a="1"/>
  <c r="B887" i="7" a="1"/>
  <c r="A887" i="7" a="1"/>
  <c r="D886" i="7" a="1"/>
  <c r="C886" i="7" a="1"/>
  <c r="B886" i="7" a="1"/>
  <c r="A886" i="7" a="1"/>
  <c r="D885" i="7" a="1"/>
  <c r="C885" i="7" a="1"/>
  <c r="B885" i="7" a="1"/>
  <c r="A885" i="7" a="1"/>
  <c r="D884" i="7" a="1"/>
  <c r="C884" i="7" a="1"/>
  <c r="B884" i="7" a="1"/>
  <c r="A884" i="7" a="1"/>
  <c r="D883" i="7" a="1"/>
  <c r="C883" i="7" a="1"/>
  <c r="B883" i="7" a="1"/>
  <c r="A883" i="7" a="1"/>
  <c r="D882" i="7" a="1"/>
  <c r="C882" i="7" a="1"/>
  <c r="B882" i="7" a="1"/>
  <c r="A882" i="7" a="1"/>
  <c r="D881" i="7" a="1"/>
  <c r="C881" i="7" a="1"/>
  <c r="B881" i="7" a="1"/>
  <c r="A881" i="7" a="1"/>
  <c r="D880" i="7" a="1"/>
  <c r="C880" i="7" a="1"/>
  <c r="B880" i="7" a="1"/>
  <c r="A880" i="7" a="1"/>
  <c r="D879" i="7" a="1"/>
  <c r="C879" i="7" a="1"/>
  <c r="B879" i="7" a="1"/>
  <c r="A879" i="7" a="1"/>
  <c r="D878" i="7" a="1"/>
  <c r="C878" i="7" a="1"/>
  <c r="B878" i="7" a="1"/>
  <c r="A878" i="7" a="1"/>
  <c r="D877" i="7" a="1"/>
  <c r="C877" i="7" a="1"/>
  <c r="B877" i="7" a="1"/>
  <c r="A877" i="7" a="1"/>
  <c r="D876" i="7" a="1"/>
  <c r="C876" i="7" a="1"/>
  <c r="B876" i="7" a="1"/>
  <c r="A876" i="7" a="1"/>
  <c r="D875" i="7" a="1"/>
  <c r="C875" i="7" a="1"/>
  <c r="B875" i="7" a="1"/>
  <c r="A875" i="7" a="1"/>
  <c r="D874" i="7" a="1"/>
  <c r="C874" i="7" a="1"/>
  <c r="B874" i="7" a="1"/>
  <c r="A874" i="7" a="1"/>
  <c r="D873" i="7" a="1"/>
  <c r="C873" i="7" a="1"/>
  <c r="B873" i="7" a="1"/>
  <c r="A873" i="7" a="1"/>
  <c r="D872" i="7" a="1"/>
  <c r="C872" i="7" a="1"/>
  <c r="B872" i="7" a="1"/>
  <c r="A872" i="7" a="1"/>
  <c r="D871" i="7" a="1"/>
  <c r="C871" i="7" a="1"/>
  <c r="B871" i="7" a="1"/>
  <c r="A871" i="7" a="1"/>
  <c r="D870" i="7" a="1"/>
  <c r="C870" i="7" a="1"/>
  <c r="B870" i="7" a="1"/>
  <c r="A870" i="7" a="1"/>
  <c r="D869" i="7" a="1"/>
  <c r="C869" i="7" a="1"/>
  <c r="B869" i="7" a="1"/>
  <c r="A869" i="7" a="1"/>
  <c r="D868" i="7" a="1"/>
  <c r="C868" i="7" a="1"/>
  <c r="B868" i="7" a="1"/>
  <c r="A868" i="7" a="1"/>
  <c r="D867" i="7" a="1"/>
  <c r="C867" i="7" a="1"/>
  <c r="B867" i="7" a="1"/>
  <c r="A867" i="7" a="1"/>
  <c r="D866" i="7" a="1"/>
  <c r="C866" i="7" a="1"/>
  <c r="B866" i="7" a="1"/>
  <c r="A866" i="7" a="1"/>
  <c r="D865" i="7" a="1"/>
  <c r="C865" i="7" a="1"/>
  <c r="B865" i="7" a="1"/>
  <c r="A865" i="7" a="1"/>
  <c r="D864" i="7" a="1"/>
  <c r="C864" i="7" a="1"/>
  <c r="B864" i="7" a="1"/>
  <c r="A864" i="7" a="1"/>
  <c r="D863" i="7" a="1"/>
  <c r="C863" i="7" a="1"/>
  <c r="B863" i="7" a="1"/>
  <c r="A863" i="7" a="1"/>
  <c r="D862" i="7" a="1"/>
  <c r="C862" i="7" a="1"/>
  <c r="B862" i="7" a="1"/>
  <c r="A862" i="7" a="1"/>
  <c r="D861" i="7" a="1"/>
  <c r="C861" i="7" a="1"/>
  <c r="B861" i="7" a="1"/>
  <c r="A861" i="7" a="1"/>
  <c r="D860" i="7" a="1"/>
  <c r="C860" i="7" a="1"/>
  <c r="B860" i="7" a="1"/>
  <c r="A860" i="7" a="1"/>
  <c r="D859" i="7" a="1"/>
  <c r="C859" i="7" a="1"/>
  <c r="B859" i="7" a="1"/>
  <c r="A859" i="7" a="1"/>
  <c r="D858" i="7" a="1"/>
  <c r="C858" i="7" a="1"/>
  <c r="B858" i="7" a="1"/>
  <c r="A858" i="7" a="1"/>
  <c r="D857" i="7" a="1"/>
  <c r="C857" i="7" a="1"/>
  <c r="B857" i="7" a="1"/>
  <c r="A857" i="7" a="1"/>
  <c r="D856" i="7" a="1"/>
  <c r="C856" i="7" a="1"/>
  <c r="B856" i="7" a="1"/>
  <c r="A856" i="7" a="1"/>
  <c r="D855" i="7" a="1"/>
  <c r="C855" i="7" a="1"/>
  <c r="B855" i="7" a="1"/>
  <c r="A855" i="7" a="1"/>
  <c r="D854" i="7" a="1"/>
  <c r="C854" i="7" a="1"/>
  <c r="B854" i="7" a="1"/>
  <c r="A854" i="7" a="1"/>
  <c r="D853" i="7" a="1"/>
  <c r="C853" i="7" a="1"/>
  <c r="B853" i="7" a="1"/>
  <c r="A853" i="7" a="1"/>
  <c r="D852" i="7" a="1"/>
  <c r="C852" i="7" a="1"/>
  <c r="B852" i="7" a="1"/>
  <c r="A852" i="7" a="1"/>
  <c r="D851" i="7" a="1"/>
  <c r="C851" i="7" a="1"/>
  <c r="B851" i="7" a="1"/>
  <c r="A851" i="7" a="1"/>
  <c r="D850" i="7" a="1"/>
  <c r="C850" i="7" a="1"/>
  <c r="B850" i="7" a="1"/>
  <c r="A850" i="7" a="1"/>
  <c r="D849" i="7" a="1"/>
  <c r="C849" i="7" a="1"/>
  <c r="B849" i="7" a="1"/>
  <c r="A849" i="7" a="1"/>
  <c r="D848" i="7" a="1"/>
  <c r="C848" i="7" a="1"/>
  <c r="B848" i="7" a="1"/>
  <c r="A848" i="7" a="1"/>
  <c r="D847" i="7" a="1"/>
  <c r="C847" i="7" a="1"/>
  <c r="B847" i="7" a="1"/>
  <c r="A847" i="7" a="1"/>
  <c r="D846" i="7" a="1"/>
  <c r="C846" i="7" a="1"/>
  <c r="B846" i="7" a="1"/>
  <c r="A846" i="7" a="1"/>
  <c r="D845" i="7" a="1"/>
  <c r="C845" i="7" a="1"/>
  <c r="B845" i="7" a="1"/>
  <c r="A845" i="7" a="1"/>
  <c r="D844" i="7" a="1"/>
  <c r="C844" i="7" a="1"/>
  <c r="B844" i="7" a="1"/>
  <c r="A844" i="7" a="1"/>
  <c r="D843" i="7" a="1"/>
  <c r="C843" i="7" a="1"/>
  <c r="B843" i="7" a="1"/>
  <c r="A843" i="7" a="1"/>
  <c r="D842" i="7" a="1"/>
  <c r="C842" i="7" a="1"/>
  <c r="B842" i="7" a="1"/>
  <c r="A842" i="7" a="1"/>
  <c r="D841" i="7" a="1"/>
  <c r="C841" i="7" a="1"/>
  <c r="B841" i="7" a="1"/>
  <c r="A841" i="7" a="1"/>
  <c r="D840" i="7" a="1"/>
  <c r="C840" i="7" a="1"/>
  <c r="B840" i="7" a="1"/>
  <c r="A840" i="7" a="1"/>
  <c r="D839" i="7" a="1"/>
  <c r="C839" i="7" a="1"/>
  <c r="B839" i="7" a="1"/>
  <c r="A839" i="7" a="1"/>
  <c r="D838" i="7" a="1"/>
  <c r="C838" i="7" a="1"/>
  <c r="B838" i="7" a="1"/>
  <c r="A838" i="7" a="1"/>
  <c r="D837" i="7" a="1"/>
  <c r="C837" i="7" a="1"/>
  <c r="B837" i="7" a="1"/>
  <c r="A837" i="7" a="1"/>
  <c r="D836" i="7" a="1"/>
  <c r="C836" i="7" a="1"/>
  <c r="B836" i="7" a="1"/>
  <c r="A836" i="7" a="1"/>
  <c r="D835" i="7" a="1"/>
  <c r="C835" i="7" a="1"/>
  <c r="B835" i="7" a="1"/>
  <c r="A835" i="7" a="1"/>
  <c r="D834" i="7" a="1"/>
  <c r="C834" i="7" a="1"/>
  <c r="B834" i="7" a="1"/>
  <c r="A834" i="7" a="1"/>
  <c r="D833" i="7" a="1"/>
  <c r="C833" i="7" a="1"/>
  <c r="B833" i="7" a="1"/>
  <c r="A833" i="7" a="1"/>
  <c r="D832" i="7" a="1"/>
  <c r="C832" i="7" a="1"/>
  <c r="B832" i="7" a="1"/>
  <c r="A832" i="7" a="1"/>
  <c r="D831" i="7" a="1"/>
  <c r="C831" i="7" a="1"/>
  <c r="B831" i="7" a="1"/>
  <c r="A831" i="7" a="1"/>
  <c r="D830" i="7" a="1"/>
  <c r="C830" i="7" a="1"/>
  <c r="B830" i="7" a="1"/>
  <c r="A830" i="7" a="1"/>
  <c r="D829" i="7" a="1"/>
  <c r="C829" i="7" a="1"/>
  <c r="B829" i="7" a="1"/>
  <c r="A829" i="7" a="1"/>
  <c r="D828" i="7" a="1"/>
  <c r="C828" i="7" a="1"/>
  <c r="B828" i="7" a="1"/>
  <c r="A828" i="7" a="1"/>
  <c r="D827" i="7" a="1"/>
  <c r="C827" i="7" a="1"/>
  <c r="B827" i="7" a="1"/>
  <c r="A827" i="7" a="1"/>
  <c r="D826" i="7" a="1"/>
  <c r="C826" i="7" a="1"/>
  <c r="B826" i="7" a="1"/>
  <c r="A826" i="7" a="1"/>
  <c r="D825" i="7" a="1"/>
  <c r="C825" i="7" a="1"/>
  <c r="B825" i="7" a="1"/>
  <c r="A825" i="7" a="1"/>
  <c r="D824" i="7" a="1"/>
  <c r="C824" i="7" a="1"/>
  <c r="B824" i="7" a="1"/>
  <c r="A824" i="7" a="1"/>
  <c r="D823" i="7" a="1"/>
  <c r="C823" i="7" a="1"/>
  <c r="B823" i="7" a="1"/>
  <c r="A823" i="7" a="1"/>
  <c r="D822" i="7" a="1"/>
  <c r="C822" i="7" a="1"/>
  <c r="B822" i="7" a="1"/>
  <c r="A822" i="7" a="1"/>
  <c r="D821" i="7" a="1"/>
  <c r="C821" i="7" a="1"/>
  <c r="B821" i="7" a="1"/>
  <c r="A821" i="7" a="1"/>
  <c r="D820" i="7" a="1"/>
  <c r="C820" i="7" a="1"/>
  <c r="B820" i="7" a="1"/>
  <c r="A820" i="7" a="1"/>
  <c r="D819" i="7" a="1"/>
  <c r="C819" i="7" a="1"/>
  <c r="B819" i="7" a="1"/>
  <c r="A819" i="7" a="1"/>
  <c r="D818" i="7" a="1"/>
  <c r="C818" i="7" a="1"/>
  <c r="B818" i="7" a="1"/>
  <c r="A818" i="7" a="1"/>
  <c r="D817" i="7" a="1"/>
  <c r="C817" i="7" a="1"/>
  <c r="B817" i="7" a="1"/>
  <c r="A817" i="7" a="1"/>
  <c r="D816" i="7" a="1"/>
  <c r="C816" i="7" a="1"/>
  <c r="B816" i="7" a="1"/>
  <c r="A816" i="7" a="1"/>
  <c r="D815" i="7" a="1"/>
  <c r="C815" i="7" a="1"/>
  <c r="B815" i="7" a="1"/>
  <c r="A815" i="7" a="1"/>
  <c r="D814" i="7" a="1"/>
  <c r="C814" i="7" a="1"/>
  <c r="B814" i="7" a="1"/>
  <c r="A814" i="7" a="1"/>
  <c r="D813" i="7" a="1"/>
  <c r="C813" i="7" a="1"/>
  <c r="B813" i="7" a="1"/>
  <c r="A813" i="7" a="1"/>
  <c r="D812" i="7" a="1"/>
  <c r="C812" i="7" a="1"/>
  <c r="B812" i="7" a="1"/>
  <c r="A812" i="7" a="1"/>
  <c r="D811" i="7" a="1"/>
  <c r="C811" i="7" a="1"/>
  <c r="B811" i="7" a="1"/>
  <c r="A811" i="7" a="1"/>
  <c r="D810" i="7" a="1"/>
  <c r="C810" i="7" a="1"/>
  <c r="B810" i="7" a="1"/>
  <c r="A810" i="7" a="1"/>
  <c r="D809" i="7" a="1"/>
  <c r="C809" i="7" a="1"/>
  <c r="B809" i="7" a="1"/>
  <c r="A809" i="7" a="1"/>
  <c r="D808" i="7" a="1"/>
  <c r="C808" i="7" a="1"/>
  <c r="B808" i="7" a="1"/>
  <c r="A808" i="7" a="1"/>
  <c r="D807" i="7" a="1"/>
  <c r="C807" i="7" a="1"/>
  <c r="B807" i="7" a="1"/>
  <c r="A807" i="7" a="1"/>
  <c r="D806" i="7" a="1"/>
  <c r="C806" i="7" a="1"/>
  <c r="B806" i="7" a="1"/>
  <c r="A806" i="7" a="1"/>
  <c r="D805" i="7" a="1"/>
  <c r="C805" i="7" a="1"/>
  <c r="B805" i="7" a="1"/>
  <c r="A805" i="7" a="1"/>
  <c r="D804" i="7" a="1"/>
  <c r="C804" i="7" a="1"/>
  <c r="B804" i="7" a="1"/>
  <c r="A804" i="7" a="1"/>
  <c r="D803" i="7" a="1"/>
  <c r="C803" i="7" a="1"/>
  <c r="B803" i="7" a="1"/>
  <c r="A803" i="7" a="1"/>
  <c r="D802" i="7" a="1"/>
  <c r="C802" i="7" a="1"/>
  <c r="B802" i="7" a="1"/>
  <c r="A802" i="7" a="1"/>
  <c r="D801" i="7" a="1"/>
  <c r="C801" i="7" a="1"/>
  <c r="B801" i="7" a="1"/>
  <c r="A801" i="7" a="1"/>
  <c r="D800" i="7" a="1"/>
  <c r="C800" i="7" a="1"/>
  <c r="B800" i="7" a="1"/>
  <c r="A800" i="7" a="1"/>
  <c r="D799" i="7" a="1"/>
  <c r="C799" i="7" a="1"/>
  <c r="B799" i="7" a="1"/>
  <c r="A799" i="7" a="1"/>
  <c r="D798" i="7" a="1"/>
  <c r="C798" i="7" a="1"/>
  <c r="B798" i="7" a="1"/>
  <c r="A798" i="7" a="1"/>
  <c r="D797" i="7" a="1"/>
  <c r="C797" i="7" a="1"/>
  <c r="B797" i="7" a="1"/>
  <c r="A797" i="7" a="1"/>
  <c r="D796" i="7" a="1"/>
  <c r="C796" i="7" a="1"/>
  <c r="B796" i="7" a="1"/>
  <c r="A796" i="7" a="1"/>
  <c r="D795" i="7" a="1"/>
  <c r="C795" i="7" a="1"/>
  <c r="B795" i="7" a="1"/>
  <c r="A795" i="7" a="1"/>
  <c r="D794" i="7" a="1"/>
  <c r="C794" i="7" a="1"/>
  <c r="B794" i="7" a="1"/>
  <c r="A794" i="7" a="1"/>
  <c r="D793" i="7" a="1"/>
  <c r="C793" i="7" a="1"/>
  <c r="B793" i="7" a="1"/>
  <c r="A793" i="7" a="1"/>
  <c r="D792" i="7" a="1"/>
  <c r="C792" i="7" a="1"/>
  <c r="B792" i="7" a="1"/>
  <c r="A792" i="7" a="1"/>
  <c r="D791" i="7" a="1"/>
  <c r="C791" i="7" a="1"/>
  <c r="B791" i="7" a="1"/>
  <c r="A791" i="7" a="1"/>
  <c r="D790" i="7" a="1"/>
  <c r="C790" i="7" a="1"/>
  <c r="B790" i="7" a="1"/>
  <c r="A790" i="7" a="1"/>
  <c r="D789" i="7" a="1"/>
  <c r="C789" i="7" a="1"/>
  <c r="B789" i="7" a="1"/>
  <c r="A789" i="7" a="1"/>
  <c r="D788" i="7" a="1"/>
  <c r="C788" i="7" a="1"/>
  <c r="B788" i="7" a="1"/>
  <c r="A788" i="7" a="1"/>
  <c r="D787" i="7" a="1"/>
  <c r="C787" i="7" a="1"/>
  <c r="B787" i="7" a="1"/>
  <c r="A787" i="7" a="1"/>
  <c r="D786" i="7" a="1"/>
  <c r="C786" i="7" a="1"/>
  <c r="B786" i="7" a="1"/>
  <c r="A786" i="7" a="1"/>
  <c r="D785" i="7" a="1"/>
  <c r="C785" i="7" a="1"/>
  <c r="B785" i="7" a="1"/>
  <c r="A785" i="7" a="1"/>
  <c r="D784" i="7" a="1"/>
  <c r="C784" i="7" a="1"/>
  <c r="B784" i="7" a="1"/>
  <c r="A784" i="7" a="1"/>
  <c r="D783" i="7" a="1"/>
  <c r="C783" i="7" a="1"/>
  <c r="B783" i="7" a="1"/>
  <c r="A783" i="7" a="1"/>
  <c r="D782" i="7" a="1"/>
  <c r="C782" i="7" a="1"/>
  <c r="B782" i="7" a="1"/>
  <c r="A782" i="7" a="1"/>
  <c r="D781" i="7" a="1"/>
  <c r="C781" i="7" a="1"/>
  <c r="B781" i="7" a="1"/>
  <c r="A781" i="7" a="1"/>
  <c r="D780" i="7" a="1"/>
  <c r="C780" i="7" a="1"/>
  <c r="B780" i="7" a="1"/>
  <c r="A780" i="7" a="1"/>
  <c r="D779" i="7" a="1"/>
  <c r="C779" i="7" a="1"/>
  <c r="B779" i="7" a="1"/>
  <c r="A779" i="7" a="1"/>
  <c r="D778" i="7" a="1"/>
  <c r="C778" i="7" a="1"/>
  <c r="B778" i="7" a="1"/>
  <c r="A778" i="7" a="1"/>
  <c r="D777" i="7" a="1"/>
  <c r="C777" i="7" a="1"/>
  <c r="B777" i="7" a="1"/>
  <c r="A777" i="7" a="1"/>
  <c r="G776" i="7"/>
  <c r="D776" i="7" a="1"/>
  <c r="C776" i="7" a="1"/>
  <c r="B776" i="7" a="1"/>
  <c r="A776" i="7" a="1"/>
  <c r="G775" i="7"/>
  <c r="D775" i="7" a="1"/>
  <c r="C775" i="7" a="1"/>
  <c r="B775" i="7" a="1"/>
  <c r="A775" i="7" a="1"/>
  <c r="D774" i="7" a="1"/>
  <c r="C774" i="7" a="1"/>
  <c r="B774" i="7" a="1"/>
  <c r="A774" i="7" a="1"/>
  <c r="G773" i="7"/>
  <c r="D773" i="7" a="1"/>
  <c r="C773" i="7" a="1"/>
  <c r="B773" i="7" a="1"/>
  <c r="A773" i="7" a="1"/>
  <c r="H772" i="7"/>
  <c r="G772" i="7"/>
  <c r="D772" i="7" a="1"/>
  <c r="C772" i="7" a="1"/>
  <c r="B772" i="7" a="1"/>
  <c r="A772" i="7" a="1"/>
  <c r="H771" i="7"/>
  <c r="G771" i="7"/>
  <c r="D771" i="7" a="1"/>
  <c r="C771" i="7" a="1"/>
  <c r="B771" i="7" a="1"/>
  <c r="A771" i="7" a="1"/>
  <c r="H770" i="7"/>
  <c r="G770" i="7"/>
  <c r="D770" i="7" a="1"/>
  <c r="C770" i="7" a="1"/>
  <c r="B770" i="7" a="1"/>
  <c r="A770" i="7" a="1"/>
  <c r="H769" i="7"/>
  <c r="G769" i="7"/>
  <c r="D769" i="7" a="1"/>
  <c r="C769" i="7" a="1"/>
  <c r="B769" i="7" a="1"/>
  <c r="A769" i="7" a="1"/>
  <c r="H768" i="7"/>
  <c r="G768" i="7"/>
  <c r="D768" i="7" a="1"/>
  <c r="C768" i="7" a="1"/>
  <c r="B768" i="7" a="1"/>
  <c r="A768" i="7" a="1"/>
  <c r="B57" i="4"/>
  <c r="B58" i="4"/>
  <c r="B59" i="4"/>
  <c r="B60" i="4"/>
  <c r="B56" i="4"/>
  <c r="C56" i="4"/>
  <c r="C57" i="4" s="1"/>
  <c r="C58" i="4" s="1"/>
  <c r="C59" i="4" s="1"/>
  <c r="C60" i="4" s="1"/>
  <c r="C55" i="4"/>
  <c r="B55" i="4"/>
  <c r="C14" i="4"/>
  <c r="B14" i="4"/>
  <c r="H10" i="4"/>
  <c r="G11" i="4"/>
  <c r="G10" i="4"/>
  <c r="F11" i="4"/>
  <c r="F10" i="4"/>
  <c r="D11" i="4"/>
  <c r="E7" i="4"/>
  <c r="F7" i="4" s="1"/>
  <c r="H2" i="4"/>
  <c r="E6" i="4"/>
  <c r="F6" i="4"/>
  <c r="G6" i="4"/>
  <c r="D6" i="4"/>
  <c r="F3" i="4"/>
  <c r="E11" i="4" s="1"/>
  <c r="F2" i="4"/>
  <c r="E10" i="4" s="1"/>
  <c r="G2" i="4"/>
  <c r="J776" i="1"/>
  <c r="I776" i="1"/>
  <c r="K772" i="1"/>
  <c r="K771" i="1"/>
  <c r="K770" i="1"/>
  <c r="K769" i="1"/>
  <c r="K768" i="1"/>
  <c r="J768" i="1"/>
  <c r="J769" i="1"/>
  <c r="J770" i="1"/>
  <c r="J771" i="1"/>
  <c r="J772" i="1"/>
  <c r="I772" i="1"/>
  <c r="I771" i="1"/>
  <c r="I770" i="1"/>
  <c r="I769" i="1"/>
  <c r="I775" i="1"/>
  <c r="J775" i="1" s="1"/>
  <c r="I773" i="1"/>
  <c r="J773" i="1" s="1"/>
  <c r="I768" i="1"/>
  <c r="F869" i="1" a="1"/>
  <c r="F870" i="1" a="1"/>
  <c r="F871" i="1" a="1"/>
  <c r="F872" i="1" a="1"/>
  <c r="F873" i="1" a="1"/>
  <c r="F874" i="1" a="1"/>
  <c r="F875" i="1" a="1"/>
  <c r="F876" i="1" a="1"/>
  <c r="F877" i="1" a="1"/>
  <c r="F878" i="1" a="1"/>
  <c r="F879" i="1" a="1"/>
  <c r="F880" i="1" a="1"/>
  <c r="F881" i="1" a="1"/>
  <c r="F882" i="1" a="1"/>
  <c r="F883" i="1" a="1"/>
  <c r="F884" i="1" a="1"/>
  <c r="F885" i="1" a="1"/>
  <c r="F886" i="1" a="1"/>
  <c r="F887" i="1" a="1"/>
  <c r="F888" i="1" a="1"/>
  <c r="F889" i="1" a="1"/>
  <c r="F890" i="1" a="1"/>
  <c r="F891" i="1" a="1"/>
  <c r="F892" i="1" a="1"/>
  <c r="F893" i="1" a="1"/>
  <c r="F894" i="1" a="1"/>
  <c r="F895" i="1" a="1"/>
  <c r="F896" i="1" a="1"/>
  <c r="F897" i="1" a="1"/>
  <c r="F898" i="1" a="1"/>
  <c r="F899" i="1" a="1"/>
  <c r="F900" i="1" a="1"/>
  <c r="F901" i="1" a="1"/>
  <c r="F902" i="1" a="1"/>
  <c r="F903" i="1" a="1"/>
  <c r="F904" i="1" a="1"/>
  <c r="F905" i="1" a="1"/>
  <c r="F906" i="1" a="1"/>
  <c r="F907" i="1" a="1"/>
  <c r="F908" i="1" a="1"/>
  <c r="F909" i="1" a="1"/>
  <c r="F910" i="1" a="1"/>
  <c r="F911" i="1" a="1"/>
  <c r="F912" i="1" a="1"/>
  <c r="F913" i="1" a="1"/>
  <c r="F914" i="1" a="1"/>
  <c r="F915" i="1" a="1"/>
  <c r="F916" i="1" a="1"/>
  <c r="F917" i="1" a="1"/>
  <c r="F868" i="1" a="1"/>
  <c r="F819" i="1" a="1"/>
  <c r="F820" i="1" a="1"/>
  <c r="F821" i="1" a="1"/>
  <c r="F822" i="1" a="1"/>
  <c r="F823" i="1" a="1"/>
  <c r="F824" i="1" a="1"/>
  <c r="F825" i="1" a="1"/>
  <c r="F826" i="1" a="1"/>
  <c r="F827" i="1" a="1"/>
  <c r="F828" i="1" a="1"/>
  <c r="F829" i="1" a="1"/>
  <c r="F830" i="1" a="1"/>
  <c r="F831" i="1" a="1"/>
  <c r="F832" i="1" a="1"/>
  <c r="F833" i="1" a="1"/>
  <c r="F834" i="1" a="1"/>
  <c r="F835" i="1" a="1"/>
  <c r="F836" i="1" a="1"/>
  <c r="F837" i="1" a="1"/>
  <c r="F838" i="1" a="1"/>
  <c r="F839" i="1" a="1"/>
  <c r="F840" i="1" a="1"/>
  <c r="F841" i="1" a="1"/>
  <c r="F842" i="1" a="1"/>
  <c r="F843" i="1" a="1"/>
  <c r="F844" i="1" a="1"/>
  <c r="F845" i="1" a="1"/>
  <c r="F846" i="1" a="1"/>
  <c r="F847" i="1" a="1"/>
  <c r="F848" i="1" a="1"/>
  <c r="F849" i="1" a="1"/>
  <c r="F850" i="1" a="1"/>
  <c r="F851" i="1" a="1"/>
  <c r="F852" i="1" a="1"/>
  <c r="F853" i="1" a="1"/>
  <c r="F854" i="1" a="1"/>
  <c r="F855" i="1" a="1"/>
  <c r="F856" i="1" a="1"/>
  <c r="F857" i="1" a="1"/>
  <c r="F858" i="1" a="1"/>
  <c r="F859" i="1" a="1"/>
  <c r="F860" i="1" a="1"/>
  <c r="F861" i="1" a="1"/>
  <c r="F862" i="1" a="1"/>
  <c r="F863" i="1" a="1"/>
  <c r="F864" i="1" a="1"/>
  <c r="F865" i="1" a="1"/>
  <c r="F866" i="1" a="1"/>
  <c r="F867" i="1" a="1"/>
  <c r="F818" i="1" a="1"/>
  <c r="F769" i="1" a="1"/>
  <c r="F770" i="1" a="1"/>
  <c r="F771" i="1" a="1"/>
  <c r="F772" i="1" a="1"/>
  <c r="F773" i="1" a="1"/>
  <c r="F774" i="1" a="1"/>
  <c r="F775" i="1" a="1"/>
  <c r="F776" i="1" a="1"/>
  <c r="F777" i="1" a="1"/>
  <c r="F778" i="1" a="1"/>
  <c r="F779" i="1" a="1"/>
  <c r="F780" i="1" a="1"/>
  <c r="F781" i="1" a="1"/>
  <c r="F782" i="1" a="1"/>
  <c r="F783" i="1" a="1"/>
  <c r="F784" i="1" a="1"/>
  <c r="F785" i="1" a="1"/>
  <c r="F786" i="1" a="1"/>
  <c r="F787" i="1" a="1"/>
  <c r="F788" i="1" a="1"/>
  <c r="F789" i="1" a="1"/>
  <c r="F790" i="1" a="1"/>
  <c r="F791" i="1" a="1"/>
  <c r="F792" i="1" a="1"/>
  <c r="F793" i="1" a="1"/>
  <c r="F794" i="1" a="1"/>
  <c r="F795" i="1" a="1"/>
  <c r="F796" i="1" a="1"/>
  <c r="F797" i="1" a="1"/>
  <c r="F798" i="1" a="1"/>
  <c r="F799" i="1" a="1"/>
  <c r="F800" i="1" a="1"/>
  <c r="F801" i="1" a="1"/>
  <c r="F802" i="1" a="1"/>
  <c r="F803" i="1" a="1"/>
  <c r="F804" i="1" a="1"/>
  <c r="F805" i="1" a="1"/>
  <c r="F806" i="1" a="1"/>
  <c r="F807" i="1" a="1"/>
  <c r="F808" i="1" a="1"/>
  <c r="F809" i="1" a="1"/>
  <c r="F810" i="1" a="1"/>
  <c r="F811" i="1" a="1"/>
  <c r="F812" i="1" a="1"/>
  <c r="F813" i="1" a="1"/>
  <c r="F814" i="1" a="1"/>
  <c r="F815" i="1" a="1"/>
  <c r="F816" i="1" a="1"/>
  <c r="F817" i="1" a="1"/>
  <c r="F768" i="1" a="1"/>
  <c r="E869" i="1" a="1"/>
  <c r="E870" i="1" a="1"/>
  <c r="E871" i="1" a="1"/>
  <c r="E872" i="1" a="1"/>
  <c r="E873" i="1" a="1"/>
  <c r="E874" i="1" a="1"/>
  <c r="E875" i="1" a="1"/>
  <c r="E876" i="1" a="1"/>
  <c r="E877" i="1" a="1"/>
  <c r="E878" i="1" a="1"/>
  <c r="E879" i="1" a="1"/>
  <c r="E880" i="1" a="1"/>
  <c r="E881" i="1" a="1"/>
  <c r="E882" i="1" a="1"/>
  <c r="E883" i="1" a="1"/>
  <c r="E884" i="1" a="1"/>
  <c r="E885" i="1" a="1"/>
  <c r="E886" i="1" a="1"/>
  <c r="E887" i="1" a="1"/>
  <c r="E888" i="1" a="1"/>
  <c r="E889" i="1" a="1"/>
  <c r="E890" i="1" a="1"/>
  <c r="E891" i="1" a="1"/>
  <c r="E892" i="1" a="1"/>
  <c r="E893" i="1" a="1"/>
  <c r="E894" i="1" a="1"/>
  <c r="E895" i="1" a="1"/>
  <c r="E896" i="1" a="1"/>
  <c r="E897" i="1" a="1"/>
  <c r="E898" i="1" a="1"/>
  <c r="E899" i="1" a="1"/>
  <c r="E900" i="1" a="1"/>
  <c r="E901" i="1" a="1"/>
  <c r="E902" i="1" a="1"/>
  <c r="E903" i="1" a="1"/>
  <c r="E904" i="1" a="1"/>
  <c r="E905" i="1" a="1"/>
  <c r="E906" i="1" a="1"/>
  <c r="E907" i="1" a="1"/>
  <c r="E908" i="1" a="1"/>
  <c r="E909" i="1" a="1"/>
  <c r="E910" i="1" a="1"/>
  <c r="E911" i="1" a="1"/>
  <c r="E912" i="1" a="1"/>
  <c r="E913" i="1" a="1"/>
  <c r="E914" i="1" a="1"/>
  <c r="E915" i="1" a="1"/>
  <c r="E916" i="1" a="1"/>
  <c r="E917" i="1" a="1"/>
  <c r="E868" i="1" a="1"/>
  <c r="E819" i="1" a="1"/>
  <c r="E820" i="1" a="1"/>
  <c r="E821" i="1" a="1"/>
  <c r="E822" i="1" a="1"/>
  <c r="E823" i="1" a="1"/>
  <c r="E824" i="1" a="1"/>
  <c r="E825" i="1" a="1"/>
  <c r="E826" i="1" a="1"/>
  <c r="E827" i="1" a="1"/>
  <c r="E828" i="1" a="1"/>
  <c r="E829" i="1" a="1"/>
  <c r="E830" i="1" a="1"/>
  <c r="E831" i="1" a="1"/>
  <c r="E832" i="1" a="1"/>
  <c r="E833" i="1" a="1"/>
  <c r="E834" i="1" a="1"/>
  <c r="E835" i="1" a="1"/>
  <c r="E836" i="1" a="1"/>
  <c r="E837" i="1" a="1"/>
  <c r="E838" i="1" a="1"/>
  <c r="E839" i="1" a="1"/>
  <c r="E840" i="1" a="1"/>
  <c r="E841" i="1" a="1"/>
  <c r="E842" i="1" a="1"/>
  <c r="E843" i="1" a="1"/>
  <c r="E844" i="1" a="1"/>
  <c r="E845" i="1" a="1"/>
  <c r="E846" i="1" a="1"/>
  <c r="E847" i="1" a="1"/>
  <c r="E848" i="1" a="1"/>
  <c r="E849" i="1" a="1"/>
  <c r="E850" i="1" a="1"/>
  <c r="E851" i="1" a="1"/>
  <c r="E852" i="1" a="1"/>
  <c r="E853" i="1" a="1"/>
  <c r="E854" i="1" a="1"/>
  <c r="E855" i="1" a="1"/>
  <c r="E856" i="1" a="1"/>
  <c r="E857" i="1" a="1"/>
  <c r="E858" i="1" a="1"/>
  <c r="E859" i="1" a="1"/>
  <c r="E860" i="1" a="1"/>
  <c r="E861" i="1" a="1"/>
  <c r="E862" i="1" a="1"/>
  <c r="E863" i="1" a="1"/>
  <c r="E864" i="1" a="1"/>
  <c r="E865" i="1" a="1"/>
  <c r="E866" i="1" a="1"/>
  <c r="E867" i="1" a="1"/>
  <c r="E818" i="1" a="1"/>
  <c r="E769" i="1" a="1"/>
  <c r="E770" i="1" a="1"/>
  <c r="E771" i="1" a="1"/>
  <c r="E772" i="1" a="1"/>
  <c r="E773" i="1" a="1"/>
  <c r="E774" i="1" a="1"/>
  <c r="E775" i="1" a="1"/>
  <c r="E776" i="1" a="1"/>
  <c r="E777" i="1" a="1"/>
  <c r="E778" i="1" a="1"/>
  <c r="E779" i="1" a="1"/>
  <c r="E780" i="1" a="1"/>
  <c r="E781" i="1" a="1"/>
  <c r="E782" i="1" a="1"/>
  <c r="E783" i="1" a="1"/>
  <c r="E784" i="1" a="1"/>
  <c r="E785" i="1" a="1"/>
  <c r="E786" i="1" a="1"/>
  <c r="E787" i="1" a="1"/>
  <c r="E788" i="1" a="1"/>
  <c r="E789" i="1" a="1"/>
  <c r="E790" i="1" a="1"/>
  <c r="E791" i="1" a="1"/>
  <c r="E792" i="1" a="1"/>
  <c r="E793" i="1" a="1"/>
  <c r="E794" i="1" a="1"/>
  <c r="E795" i="1" a="1"/>
  <c r="E796" i="1" a="1"/>
  <c r="E797" i="1" a="1"/>
  <c r="E798" i="1" a="1"/>
  <c r="E799" i="1" a="1"/>
  <c r="E800" i="1" a="1"/>
  <c r="E801" i="1" a="1"/>
  <c r="E802" i="1" a="1"/>
  <c r="E803" i="1" a="1"/>
  <c r="E804" i="1" a="1"/>
  <c r="E805" i="1" a="1"/>
  <c r="E806" i="1" a="1"/>
  <c r="E807" i="1" a="1"/>
  <c r="E808" i="1" a="1"/>
  <c r="E809" i="1" a="1"/>
  <c r="E810" i="1" a="1"/>
  <c r="E811" i="1" a="1"/>
  <c r="E812" i="1" a="1"/>
  <c r="E813" i="1" a="1"/>
  <c r="E814" i="1" a="1"/>
  <c r="E815" i="1" a="1"/>
  <c r="E816" i="1" a="1"/>
  <c r="E817" i="1" a="1"/>
  <c r="E768" i="1" a="1"/>
  <c r="D869" i="1" a="1"/>
  <c r="D870" i="1" a="1"/>
  <c r="D871" i="1" a="1"/>
  <c r="D872" i="1" a="1"/>
  <c r="D873" i="1" a="1"/>
  <c r="D874" i="1" a="1"/>
  <c r="D875" i="1" a="1"/>
  <c r="D876" i="1" a="1"/>
  <c r="D877" i="1" a="1"/>
  <c r="D878" i="1" a="1"/>
  <c r="D879" i="1" a="1"/>
  <c r="D880" i="1" a="1"/>
  <c r="D881" i="1" a="1"/>
  <c r="D882" i="1" a="1"/>
  <c r="D883" i="1" a="1"/>
  <c r="D884" i="1" a="1"/>
  <c r="D885" i="1" a="1"/>
  <c r="D886" i="1" a="1"/>
  <c r="D887" i="1" a="1"/>
  <c r="D888" i="1" a="1"/>
  <c r="D889" i="1" a="1"/>
  <c r="D890" i="1" a="1"/>
  <c r="D891" i="1" a="1"/>
  <c r="D892" i="1" a="1"/>
  <c r="D893" i="1" a="1"/>
  <c r="D894" i="1" a="1"/>
  <c r="D895" i="1" a="1"/>
  <c r="D896" i="1" a="1"/>
  <c r="D897" i="1" a="1"/>
  <c r="D898" i="1" a="1"/>
  <c r="D899" i="1" a="1"/>
  <c r="D900" i="1" a="1"/>
  <c r="D901" i="1" a="1"/>
  <c r="D902" i="1" a="1"/>
  <c r="D903" i="1" a="1"/>
  <c r="D904" i="1" a="1"/>
  <c r="D905" i="1" a="1"/>
  <c r="D906" i="1" a="1"/>
  <c r="D907" i="1" a="1"/>
  <c r="D908" i="1" a="1"/>
  <c r="D909" i="1" a="1"/>
  <c r="D910" i="1" a="1"/>
  <c r="D911" i="1" a="1"/>
  <c r="D912" i="1" a="1"/>
  <c r="D913" i="1" a="1"/>
  <c r="D914" i="1" a="1"/>
  <c r="D915" i="1" a="1"/>
  <c r="D916" i="1" a="1"/>
  <c r="D917" i="1" a="1"/>
  <c r="D868" i="1" a="1"/>
  <c r="D819" i="1" a="1"/>
  <c r="D820" i="1" a="1"/>
  <c r="D821" i="1" a="1"/>
  <c r="D822" i="1" a="1"/>
  <c r="D823" i="1" a="1"/>
  <c r="D824" i="1" a="1"/>
  <c r="D825" i="1" a="1"/>
  <c r="D826" i="1" a="1"/>
  <c r="D827" i="1" a="1"/>
  <c r="D828" i="1" a="1"/>
  <c r="D829" i="1" a="1"/>
  <c r="D830" i="1" a="1"/>
  <c r="D831" i="1" a="1"/>
  <c r="D832" i="1" a="1"/>
  <c r="D833" i="1" a="1"/>
  <c r="D834" i="1" a="1"/>
  <c r="D835" i="1" a="1"/>
  <c r="D836" i="1" a="1"/>
  <c r="D837" i="1" a="1"/>
  <c r="D838" i="1" a="1"/>
  <c r="D839" i="1" a="1"/>
  <c r="D840" i="1" a="1"/>
  <c r="D841" i="1" a="1"/>
  <c r="D842" i="1" a="1"/>
  <c r="D843" i="1" a="1"/>
  <c r="D844" i="1" a="1"/>
  <c r="D845" i="1" a="1"/>
  <c r="D846" i="1" a="1"/>
  <c r="D847" i="1" a="1"/>
  <c r="D848" i="1" a="1"/>
  <c r="D849" i="1" a="1"/>
  <c r="D850" i="1" a="1"/>
  <c r="D851" i="1" a="1"/>
  <c r="D852" i="1" a="1"/>
  <c r="D853" i="1" a="1"/>
  <c r="D854" i="1" a="1"/>
  <c r="D855" i="1" a="1"/>
  <c r="D856" i="1" a="1"/>
  <c r="D857" i="1" a="1"/>
  <c r="D858" i="1" a="1"/>
  <c r="D859" i="1" a="1"/>
  <c r="D860" i="1" a="1"/>
  <c r="D861" i="1" a="1"/>
  <c r="D862" i="1" a="1"/>
  <c r="D863" i="1" a="1"/>
  <c r="D864" i="1" a="1"/>
  <c r="D865" i="1" a="1"/>
  <c r="D866" i="1" a="1"/>
  <c r="D867" i="1" a="1"/>
  <c r="D818" i="1" a="1"/>
  <c r="D769" i="1" a="1"/>
  <c r="D770" i="1" a="1"/>
  <c r="D771" i="1" a="1"/>
  <c r="D772" i="1" a="1"/>
  <c r="D773" i="1" a="1"/>
  <c r="D774" i="1" a="1"/>
  <c r="D775" i="1" a="1"/>
  <c r="D776" i="1" a="1"/>
  <c r="D777" i="1" a="1"/>
  <c r="D778" i="1" a="1"/>
  <c r="D779" i="1" a="1"/>
  <c r="D780" i="1" a="1"/>
  <c r="D781" i="1" a="1"/>
  <c r="D782" i="1" a="1"/>
  <c r="D783" i="1" a="1"/>
  <c r="D784" i="1" a="1"/>
  <c r="D785" i="1" a="1"/>
  <c r="D786" i="1" a="1"/>
  <c r="D787" i="1" a="1"/>
  <c r="D788" i="1" a="1"/>
  <c r="D789" i="1" a="1"/>
  <c r="D790" i="1" a="1"/>
  <c r="D791" i="1" a="1"/>
  <c r="D792" i="1" a="1"/>
  <c r="D793" i="1" a="1"/>
  <c r="D794" i="1" a="1"/>
  <c r="D795" i="1" a="1"/>
  <c r="D796" i="1" a="1"/>
  <c r="D797" i="1" a="1"/>
  <c r="D798" i="1" a="1"/>
  <c r="D799" i="1" a="1"/>
  <c r="D800" i="1" a="1"/>
  <c r="D801" i="1" a="1"/>
  <c r="D802" i="1" a="1"/>
  <c r="D803" i="1" a="1"/>
  <c r="D804" i="1" a="1"/>
  <c r="D805" i="1" a="1"/>
  <c r="D806" i="1" a="1"/>
  <c r="D807" i="1" a="1"/>
  <c r="D808" i="1" a="1"/>
  <c r="D809" i="1" a="1"/>
  <c r="D810" i="1" a="1"/>
  <c r="D811" i="1" a="1"/>
  <c r="D812" i="1" a="1"/>
  <c r="D813" i="1" a="1"/>
  <c r="D814" i="1" a="1"/>
  <c r="D815" i="1" a="1"/>
  <c r="D816" i="1" a="1"/>
  <c r="D817" i="1" a="1"/>
  <c r="D768" i="1" a="1"/>
  <c r="C869" i="1" a="1"/>
  <c r="C870" i="1" a="1"/>
  <c r="C871" i="1" a="1"/>
  <c r="C872" i="1" a="1"/>
  <c r="C873" i="1" a="1"/>
  <c r="C874" i="1" a="1"/>
  <c r="C875" i="1" a="1"/>
  <c r="C876" i="1" a="1"/>
  <c r="C877" i="1" a="1"/>
  <c r="C878" i="1" a="1"/>
  <c r="C879" i="1" a="1"/>
  <c r="C880" i="1" a="1"/>
  <c r="C881" i="1" a="1"/>
  <c r="C882" i="1" a="1"/>
  <c r="C883" i="1" a="1"/>
  <c r="C884" i="1" a="1"/>
  <c r="C885" i="1" a="1"/>
  <c r="C886" i="1" a="1"/>
  <c r="C887" i="1" a="1"/>
  <c r="C888" i="1" a="1"/>
  <c r="C889" i="1" a="1"/>
  <c r="C890" i="1" a="1"/>
  <c r="C891" i="1" a="1"/>
  <c r="C892" i="1" a="1"/>
  <c r="C893" i="1" a="1"/>
  <c r="C894" i="1" a="1"/>
  <c r="C895" i="1" a="1"/>
  <c r="C896" i="1" a="1"/>
  <c r="C897" i="1" a="1"/>
  <c r="C898" i="1" a="1"/>
  <c r="C899" i="1" a="1"/>
  <c r="C900" i="1" a="1"/>
  <c r="C901" i="1" a="1"/>
  <c r="C902" i="1" a="1"/>
  <c r="C903" i="1" a="1"/>
  <c r="C904" i="1" a="1"/>
  <c r="C905" i="1" a="1"/>
  <c r="C906" i="1" a="1"/>
  <c r="C907" i="1" a="1"/>
  <c r="C908" i="1" a="1"/>
  <c r="C909" i="1" a="1"/>
  <c r="C910" i="1" a="1"/>
  <c r="C911" i="1" a="1"/>
  <c r="C912" i="1" a="1"/>
  <c r="C913" i="1" a="1"/>
  <c r="C914" i="1" a="1"/>
  <c r="C915" i="1" a="1"/>
  <c r="C916" i="1" a="1"/>
  <c r="C917" i="1" a="1"/>
  <c r="C868" i="1" a="1"/>
  <c r="C819" i="1" a="1"/>
  <c r="C820" i="1" a="1"/>
  <c r="C821" i="1" a="1"/>
  <c r="C822" i="1" a="1"/>
  <c r="C823" i="1" a="1"/>
  <c r="C824" i="1" a="1"/>
  <c r="C825" i="1" a="1"/>
  <c r="C826" i="1" a="1"/>
  <c r="C827" i="1" a="1"/>
  <c r="C828" i="1" a="1"/>
  <c r="C829" i="1" a="1"/>
  <c r="C830" i="1" a="1"/>
  <c r="C831" i="1" a="1"/>
  <c r="C832" i="1" a="1"/>
  <c r="C833" i="1" a="1"/>
  <c r="C834" i="1" a="1"/>
  <c r="C835" i="1" a="1"/>
  <c r="C836" i="1" a="1"/>
  <c r="C837" i="1" a="1"/>
  <c r="C838" i="1" a="1"/>
  <c r="C839" i="1" a="1"/>
  <c r="C840" i="1" a="1"/>
  <c r="C841" i="1" a="1"/>
  <c r="C842" i="1" a="1"/>
  <c r="C843" i="1" a="1"/>
  <c r="C844" i="1" a="1"/>
  <c r="C845" i="1" a="1"/>
  <c r="C846" i="1" a="1"/>
  <c r="C847" i="1" a="1"/>
  <c r="C848" i="1" a="1"/>
  <c r="C849" i="1" a="1"/>
  <c r="C850" i="1" a="1"/>
  <c r="C851" i="1" a="1"/>
  <c r="C852" i="1" a="1"/>
  <c r="C853" i="1" a="1"/>
  <c r="C854" i="1" a="1"/>
  <c r="C855" i="1" a="1"/>
  <c r="C856" i="1" a="1"/>
  <c r="C857" i="1" a="1"/>
  <c r="C858" i="1" a="1"/>
  <c r="C859" i="1" a="1"/>
  <c r="C860" i="1" a="1"/>
  <c r="C861" i="1" a="1"/>
  <c r="C862" i="1" a="1"/>
  <c r="C863" i="1" a="1"/>
  <c r="C864" i="1" a="1"/>
  <c r="C865" i="1" a="1"/>
  <c r="C866" i="1" a="1"/>
  <c r="C867" i="1" a="1"/>
  <c r="C818" i="1" a="1"/>
  <c r="C769" i="1" a="1"/>
  <c r="C770" i="1" a="1"/>
  <c r="C771" i="1" a="1"/>
  <c r="C772" i="1" a="1"/>
  <c r="C773" i="1" a="1"/>
  <c r="C774" i="1" a="1"/>
  <c r="C775" i="1" a="1"/>
  <c r="C776" i="1" a="1"/>
  <c r="C777" i="1" a="1"/>
  <c r="C778" i="1" a="1"/>
  <c r="C779" i="1" a="1"/>
  <c r="C780" i="1" a="1"/>
  <c r="C781" i="1" a="1"/>
  <c r="C782" i="1" a="1"/>
  <c r="C783" i="1" a="1"/>
  <c r="C784" i="1" a="1"/>
  <c r="C785" i="1" a="1"/>
  <c r="C786" i="1" a="1"/>
  <c r="C787" i="1" a="1"/>
  <c r="C788" i="1" a="1"/>
  <c r="C789" i="1" a="1"/>
  <c r="C790" i="1" a="1"/>
  <c r="C791" i="1" a="1"/>
  <c r="C792" i="1" a="1"/>
  <c r="C793" i="1" a="1"/>
  <c r="C794" i="1" a="1"/>
  <c r="C795" i="1" a="1"/>
  <c r="C796" i="1" a="1"/>
  <c r="C797" i="1" a="1"/>
  <c r="C798" i="1" a="1"/>
  <c r="C799" i="1" a="1"/>
  <c r="C800" i="1" a="1"/>
  <c r="C801" i="1" a="1"/>
  <c r="C802" i="1" a="1"/>
  <c r="C803" i="1" a="1"/>
  <c r="C804" i="1" a="1"/>
  <c r="C805" i="1" a="1"/>
  <c r="C806" i="1" a="1"/>
  <c r="C807" i="1" a="1"/>
  <c r="C808" i="1" a="1"/>
  <c r="C809" i="1" a="1"/>
  <c r="C810" i="1" a="1"/>
  <c r="C811" i="1" a="1"/>
  <c r="C812" i="1" a="1"/>
  <c r="C813" i="1" a="1"/>
  <c r="C814" i="1" a="1"/>
  <c r="C815" i="1" a="1"/>
  <c r="C816" i="1" a="1"/>
  <c r="C817" i="1" a="1"/>
  <c r="C768" i="1" a="1"/>
  <c r="B869" i="1" a="1"/>
  <c r="B870" i="1" a="1"/>
  <c r="B871" i="1" a="1"/>
  <c r="B872" i="1" a="1"/>
  <c r="B873" i="1" a="1"/>
  <c r="B874" i="1" a="1"/>
  <c r="B875" i="1" a="1"/>
  <c r="B876" i="1" a="1"/>
  <c r="B877" i="1" a="1"/>
  <c r="B878" i="1" a="1"/>
  <c r="B879" i="1" a="1"/>
  <c r="B880" i="1" a="1"/>
  <c r="B881" i="1" a="1"/>
  <c r="B882" i="1" a="1"/>
  <c r="B883" i="1" a="1"/>
  <c r="B884" i="1" a="1"/>
  <c r="B885" i="1" a="1"/>
  <c r="B886" i="1" a="1"/>
  <c r="B887" i="1" a="1"/>
  <c r="B888" i="1" a="1"/>
  <c r="B889" i="1" a="1"/>
  <c r="B890" i="1" a="1"/>
  <c r="B891" i="1" a="1"/>
  <c r="B892" i="1" a="1"/>
  <c r="B893" i="1" a="1"/>
  <c r="B894" i="1" a="1"/>
  <c r="B895" i="1" a="1"/>
  <c r="B896" i="1" a="1"/>
  <c r="B897" i="1" a="1"/>
  <c r="B898" i="1" a="1"/>
  <c r="B899" i="1" a="1"/>
  <c r="B900" i="1" a="1"/>
  <c r="B901" i="1" a="1"/>
  <c r="B902" i="1" a="1"/>
  <c r="B903" i="1" a="1"/>
  <c r="B904" i="1" a="1"/>
  <c r="B905" i="1" a="1"/>
  <c r="B906" i="1" a="1"/>
  <c r="B907" i="1" a="1"/>
  <c r="B908" i="1" a="1"/>
  <c r="B909" i="1" a="1"/>
  <c r="B910" i="1" a="1"/>
  <c r="B911" i="1" a="1"/>
  <c r="B912" i="1" a="1"/>
  <c r="B913" i="1" a="1"/>
  <c r="B914" i="1" a="1"/>
  <c r="B915" i="1" a="1"/>
  <c r="B916" i="1" a="1"/>
  <c r="B917" i="1" a="1"/>
  <c r="B868" i="1" a="1"/>
  <c r="B867" i="1" a="1"/>
  <c r="B819" i="1" a="1"/>
  <c r="B820" i="1" a="1"/>
  <c r="B821" i="1" a="1"/>
  <c r="B822" i="1" a="1"/>
  <c r="B823" i="1" a="1"/>
  <c r="B824" i="1" a="1"/>
  <c r="B825" i="1" a="1"/>
  <c r="B826" i="1" a="1"/>
  <c r="B827" i="1" a="1"/>
  <c r="B828" i="1" a="1"/>
  <c r="B829" i="1" a="1"/>
  <c r="B830" i="1" a="1"/>
  <c r="B831" i="1" a="1"/>
  <c r="B832" i="1" a="1"/>
  <c r="B833" i="1" a="1"/>
  <c r="B834" i="1" a="1"/>
  <c r="B835" i="1" a="1"/>
  <c r="B836" i="1" a="1"/>
  <c r="B837" i="1" a="1"/>
  <c r="B838" i="1" a="1"/>
  <c r="B839" i="1" a="1"/>
  <c r="B840" i="1" a="1"/>
  <c r="B841" i="1" a="1"/>
  <c r="B842" i="1" a="1"/>
  <c r="B843" i="1" a="1"/>
  <c r="B844" i="1" a="1"/>
  <c r="B845" i="1" a="1"/>
  <c r="B846" i="1" a="1"/>
  <c r="B847" i="1" a="1"/>
  <c r="B848" i="1" a="1"/>
  <c r="B849" i="1" a="1"/>
  <c r="B850" i="1" a="1"/>
  <c r="B851" i="1" a="1"/>
  <c r="B852" i="1" a="1"/>
  <c r="B853" i="1" a="1"/>
  <c r="B854" i="1" a="1"/>
  <c r="B855" i="1" a="1"/>
  <c r="B856" i="1" a="1"/>
  <c r="B857" i="1" a="1"/>
  <c r="B858" i="1" a="1"/>
  <c r="B859" i="1" a="1"/>
  <c r="B860" i="1" a="1"/>
  <c r="B861" i="1" a="1"/>
  <c r="B862" i="1" a="1"/>
  <c r="B863" i="1" a="1"/>
  <c r="B864" i="1" a="1"/>
  <c r="B865" i="1" a="1"/>
  <c r="B866" i="1" a="1"/>
  <c r="B818" i="1" a="1"/>
  <c r="B769" i="1" a="1"/>
  <c r="B770" i="1" a="1"/>
  <c r="B771" i="1" a="1"/>
  <c r="B772" i="1" a="1"/>
  <c r="B773" i="1" a="1"/>
  <c r="B774" i="1" a="1"/>
  <c r="B775" i="1" a="1"/>
  <c r="B776" i="1" a="1"/>
  <c r="B777" i="1" a="1"/>
  <c r="B778" i="1" a="1"/>
  <c r="B779" i="1" a="1"/>
  <c r="B780" i="1" a="1"/>
  <c r="B781" i="1" a="1"/>
  <c r="B782" i="1" a="1"/>
  <c r="B783" i="1" a="1"/>
  <c r="B784" i="1" a="1"/>
  <c r="B785" i="1" a="1"/>
  <c r="B786" i="1" a="1"/>
  <c r="B787" i="1" a="1"/>
  <c r="B788" i="1" a="1"/>
  <c r="B789" i="1" a="1"/>
  <c r="B790" i="1" a="1"/>
  <c r="B791" i="1" a="1"/>
  <c r="B792" i="1" a="1"/>
  <c r="B793" i="1" a="1"/>
  <c r="B794" i="1" a="1"/>
  <c r="B795" i="1" a="1"/>
  <c r="B796" i="1" a="1"/>
  <c r="B797" i="1" a="1"/>
  <c r="B798" i="1" a="1"/>
  <c r="B799" i="1" a="1"/>
  <c r="B800" i="1" a="1"/>
  <c r="B801" i="1" a="1"/>
  <c r="B802" i="1" a="1"/>
  <c r="B803" i="1" a="1"/>
  <c r="B804" i="1" a="1"/>
  <c r="B805" i="1" a="1"/>
  <c r="B806" i="1" a="1"/>
  <c r="B807" i="1" a="1"/>
  <c r="B808" i="1" a="1"/>
  <c r="B809" i="1" a="1"/>
  <c r="B810" i="1" a="1"/>
  <c r="B811" i="1" a="1"/>
  <c r="B812" i="1" a="1"/>
  <c r="B813" i="1" a="1"/>
  <c r="B814" i="1" a="1"/>
  <c r="B815" i="1" a="1"/>
  <c r="B816" i="1" a="1"/>
  <c r="B817" i="1" a="1"/>
  <c r="B768" i="1" a="1"/>
  <c r="B6" i="2"/>
  <c r="B5" i="2"/>
  <c r="B4" i="2"/>
  <c r="B3" i="2"/>
  <c r="B2" i="2"/>
  <c r="G7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<sst xmlns="http://schemas.openxmlformats.org/spreadsheetml/2006/main" count="3309" uniqueCount="1630">
  <si>
    <t>ID</t>
  </si>
  <si>
    <t>Timestamp</t>
  </si>
  <si>
    <t>Item Number</t>
  </si>
  <si>
    <t>Shape Code</t>
  </si>
  <si>
    <t>Shape Name</t>
  </si>
  <si>
    <t>Error (%)</t>
  </si>
  <si>
    <t>RPM</t>
  </si>
  <si>
    <t>Set Hz</t>
  </si>
  <si>
    <t>Synchronous Speed</t>
  </si>
  <si>
    <t>Slip %</t>
  </si>
  <si>
    <t>Speed (m/s)</t>
  </si>
  <si>
    <t>Cycle Speed</t>
  </si>
  <si>
    <t>Image File</t>
  </si>
  <si>
    <t>2026-09-03 19:48:41</t>
  </si>
  <si>
    <t>Blue Square</t>
  </si>
  <si>
    <t>item_000750_20260903_194841.jpg</t>
  </si>
  <si>
    <t>2026-09-03 19:48:34</t>
  </si>
  <si>
    <t>Yellow Circle</t>
  </si>
  <si>
    <t>item_000749_20260903_194834.jpg</t>
  </si>
  <si>
    <t>2026-09-03 19:48:28</t>
  </si>
  <si>
    <t>Red Square</t>
  </si>
  <si>
    <t>item_000748_20260903_194827.jpg</t>
  </si>
  <si>
    <t>2026-09-03 19:48:19</t>
  </si>
  <si>
    <t>Error Detected</t>
  </si>
  <si>
    <t>item_000747_20260903_194819.jpg</t>
  </si>
  <si>
    <t>2026-09-03 19:48:12</t>
  </si>
  <si>
    <t>item_000746_20260903_194812.jpg</t>
  </si>
  <si>
    <t>2026-09-03 19:48:07</t>
  </si>
  <si>
    <t>Blue Circle</t>
  </si>
  <si>
    <t>item_000745_20260903_194807.jpg</t>
  </si>
  <si>
    <t>2026-09-03 19:48:01</t>
  </si>
  <si>
    <t>item_000744_20260903_194801.jpg</t>
  </si>
  <si>
    <t>2026-09-03 19:47:56</t>
  </si>
  <si>
    <t>item_000743_20260903_194756.jpg</t>
  </si>
  <si>
    <t>2026-09-03 19:47:49</t>
  </si>
  <si>
    <t>Blue Triangle</t>
  </si>
  <si>
    <t>item_000742_20260903_194749.jpg</t>
  </si>
  <si>
    <t>2026-09-03 19:47:44</t>
  </si>
  <si>
    <t>Yellow Triangle</t>
  </si>
  <si>
    <t>item_000741_20260903_194744.jpg</t>
  </si>
  <si>
    <t>2026-09-03 19:47:37</t>
  </si>
  <si>
    <t>Red Circle</t>
  </si>
  <si>
    <t>item_000740_20260903_194737.jpg</t>
  </si>
  <si>
    <t>2026-09-03 19:47:31</t>
  </si>
  <si>
    <t>Yellow Square</t>
  </si>
  <si>
    <t>item_000739_20260903_194731.jpg</t>
  </si>
  <si>
    <t>2026-09-03 19:47:25</t>
  </si>
  <si>
    <t>item_000738_20260903_194724.jpg</t>
  </si>
  <si>
    <t>2026-09-03 19:47:19</t>
  </si>
  <si>
    <t>item_000737_20260903_194719.jpg</t>
  </si>
  <si>
    <t>2026-09-03 19:47:11</t>
  </si>
  <si>
    <t>item_000736_20260903_194711.jpg</t>
  </si>
  <si>
    <t>2026-09-03 19:47:04</t>
  </si>
  <si>
    <t>item_000735_20260903_194704.jpg</t>
  </si>
  <si>
    <t>2026-09-03 19:46:57</t>
  </si>
  <si>
    <t>item_000734_20260903_194657.jpg</t>
  </si>
  <si>
    <t>2026-09-03 19:46:50</t>
  </si>
  <si>
    <t>item_000733_20260903_194650.jpg</t>
  </si>
  <si>
    <t>2026-09-03 19:46:44</t>
  </si>
  <si>
    <t>Object Not Found</t>
  </si>
  <si>
    <t>item_000732_20260903_194644.jpg</t>
  </si>
  <si>
    <t>2026-09-03 19:46:37</t>
  </si>
  <si>
    <t>item_000731_20260903_194637.jpg</t>
  </si>
  <si>
    <t>2026-09-03 19:46:32</t>
  </si>
  <si>
    <t>item_000730_20260903_194632.jpg</t>
  </si>
  <si>
    <t>2026-09-03 19:46:26</t>
  </si>
  <si>
    <t>item_000729_20260903_194626.jpg</t>
  </si>
  <si>
    <t>2026-09-03 19:46:18</t>
  </si>
  <si>
    <t>item_000728_20260903_194618.jpg</t>
  </si>
  <si>
    <t>2026-09-03 19:46:12</t>
  </si>
  <si>
    <t>item_000727_20260903_194612.jpg</t>
  </si>
  <si>
    <t>2026-09-03 19:46:07</t>
  </si>
  <si>
    <t>item_000726_20260903_194607.jpg</t>
  </si>
  <si>
    <t>2026-09-03 19:46:01</t>
  </si>
  <si>
    <t>Red Triangle</t>
  </si>
  <si>
    <t>item_000725_20260903_194601.jpg</t>
  </si>
  <si>
    <t>2026-09-03 19:45:55</t>
  </si>
  <si>
    <t>item_000724_20260903_194555.jpg</t>
  </si>
  <si>
    <t>2026-09-03 19:45:49</t>
  </si>
  <si>
    <t>item_000723_20260903_194549.jpg</t>
  </si>
  <si>
    <t>2026-09-03 19:45:43</t>
  </si>
  <si>
    <t>item_000722_20260903_194543.jpg</t>
  </si>
  <si>
    <t>2026-09-03 19:45:34</t>
  </si>
  <si>
    <t>item_000721_20260903_194534.jpg</t>
  </si>
  <si>
    <t>2026-09-03 19:45:29</t>
  </si>
  <si>
    <t>item_000720_20260903_194529.jpg</t>
  </si>
  <si>
    <t>2026-09-03 19:45:23</t>
  </si>
  <si>
    <t>item_000719_20260903_194523.jpg</t>
  </si>
  <si>
    <t>2026-09-03 19:45:16</t>
  </si>
  <si>
    <t>item_000718_20260903_194516.jpg</t>
  </si>
  <si>
    <t>2026-09-03 19:45:09</t>
  </si>
  <si>
    <t>item_000717_20260903_194509.jpg</t>
  </si>
  <si>
    <t>2026-09-03 19:45:02</t>
  </si>
  <si>
    <t>item_000716_20260903_194502.jpg</t>
  </si>
  <si>
    <t>2026-09-03 19:44:56</t>
  </si>
  <si>
    <t>item_000715_20260903_194456.jpg</t>
  </si>
  <si>
    <t>2026-09-03 19:44:50</t>
  </si>
  <si>
    <t>item_000714_20260903_194450.jpg</t>
  </si>
  <si>
    <t>2026-09-03 19:44:44</t>
  </si>
  <si>
    <t>item_000713_20260903_194444.jpg</t>
  </si>
  <si>
    <t>2026-09-03 19:44:37</t>
  </si>
  <si>
    <t>item_000712_20260903_194437.jpg</t>
  </si>
  <si>
    <t>2026-09-03 19:44:31</t>
  </si>
  <si>
    <t>item_000711_20260903_194431.jpg</t>
  </si>
  <si>
    <t>2026-09-03 19:44:25</t>
  </si>
  <si>
    <t>item_000710_20260903_194425.jpg</t>
  </si>
  <si>
    <t>2026-09-03 19:44:19</t>
  </si>
  <si>
    <t>item_000709_20260903_194419.jpg</t>
  </si>
  <si>
    <t>2026-09-03 19:44:13</t>
  </si>
  <si>
    <t>item_000708_20260903_194413.jpg</t>
  </si>
  <si>
    <t>2026-09-03 19:44:05</t>
  </si>
  <si>
    <t>item_000707_20260903_194405.jpg</t>
  </si>
  <si>
    <t>2026-09-03 19:44:00</t>
  </si>
  <si>
    <t>item_000706_20260903_194400.jpg</t>
  </si>
  <si>
    <t>2026-09-03 19:43:52</t>
  </si>
  <si>
    <t>item_000705_20260903_194352.jpg</t>
  </si>
  <si>
    <t>2026-09-03 19:43:45</t>
  </si>
  <si>
    <t>item_000704_20260903_194345.jpg</t>
  </si>
  <si>
    <t>2026-09-03 19:43:39</t>
  </si>
  <si>
    <t>item_000703_20260903_194339.jpg</t>
  </si>
  <si>
    <t>2026-09-03 19:43:31</t>
  </si>
  <si>
    <t>item_000702_20260903_194331.jpg</t>
  </si>
  <si>
    <t>2026-09-03 19:43:24</t>
  </si>
  <si>
    <t>item_000701_20260903_194324.jpg</t>
  </si>
  <si>
    <t>2026-09-03 19:43:07</t>
  </si>
  <si>
    <t>item_000700_20260903_194307.jpg</t>
  </si>
  <si>
    <t>2026-09-03 19:43:00</t>
  </si>
  <si>
    <t>item_000699_20260903_194300.jpg</t>
  </si>
  <si>
    <t>2026-09-03 19:42:53</t>
  </si>
  <si>
    <t>item_000698_20260903_194253.jpg</t>
  </si>
  <si>
    <t>2026-09-03 19:42:47</t>
  </si>
  <si>
    <t>item_000697_20260903_194247.jpg</t>
  </si>
  <si>
    <t>2026-09-03 19:42:40</t>
  </si>
  <si>
    <t>item_000696_20260903_194240.jpg</t>
  </si>
  <si>
    <t>2026-09-03 19:42:33</t>
  </si>
  <si>
    <t>item_000695_20260903_194233.jpg</t>
  </si>
  <si>
    <t>2026-09-03 19:42:26</t>
  </si>
  <si>
    <t>item_000694_20260903_194226.jpg</t>
  </si>
  <si>
    <t>2026-09-03 19:42:20</t>
  </si>
  <si>
    <t>item_000693_20260903_194220.jpg</t>
  </si>
  <si>
    <t>2026-09-03 19:42:13</t>
  </si>
  <si>
    <t>item_000692_20260903_194213.jpg</t>
  </si>
  <si>
    <t>2026-09-03 19:42:06</t>
  </si>
  <si>
    <t>item_000691_20260903_194206.jpg</t>
  </si>
  <si>
    <t>2026-09-03 19:42:00</t>
  </si>
  <si>
    <t>item_000690_20260903_194200.jpg</t>
  </si>
  <si>
    <t>2026-09-03 19:41:54</t>
  </si>
  <si>
    <t>item_000689_20260903_194154.jpg</t>
  </si>
  <si>
    <t>2026-09-03 19:41:47</t>
  </si>
  <si>
    <t>item_000688_20260903_194147.jpg</t>
  </si>
  <si>
    <t>2026-09-03 19:41:41</t>
  </si>
  <si>
    <t>item_000687_20260903_194141.jpg</t>
  </si>
  <si>
    <t>2026-09-03 19:41:33</t>
  </si>
  <si>
    <t>item_000686_20260903_194133.jpg</t>
  </si>
  <si>
    <t>2026-09-03 19:41:27</t>
  </si>
  <si>
    <t>item_000685_20260903_194127.jpg</t>
  </si>
  <si>
    <t>2026-09-03 19:41:21</t>
  </si>
  <si>
    <t>item_000684_20260903_194121.jpg</t>
  </si>
  <si>
    <t>2026-09-03 19:41:14</t>
  </si>
  <si>
    <t>item_000683_20260903_194114.jpg</t>
  </si>
  <si>
    <t>2026-09-03 19:41:07</t>
  </si>
  <si>
    <t>item_000682_20260903_194107.jpg</t>
  </si>
  <si>
    <t>2026-09-03 19:41:01</t>
  </si>
  <si>
    <t>item_000681_20260903_194101.jpg</t>
  </si>
  <si>
    <t>2026-09-03 19:40:54</t>
  </si>
  <si>
    <t>item_000680_20260903_194054.jpg</t>
  </si>
  <si>
    <t>2026-09-03 19:40:47</t>
  </si>
  <si>
    <t>item_000679_20260903_194047.jpg</t>
  </si>
  <si>
    <t>2026-09-03 19:40:41</t>
  </si>
  <si>
    <t>item_000678_20260903_194041.jpg</t>
  </si>
  <si>
    <t>2026-09-03 19:40:34</t>
  </si>
  <si>
    <t>item_000677_20260903_194034.jpg</t>
  </si>
  <si>
    <t>2026-09-03 19:40:28</t>
  </si>
  <si>
    <t>item_000676_20260903_194028.jpg</t>
  </si>
  <si>
    <t>2026-09-03 19:40:21</t>
  </si>
  <si>
    <t>item_000675_20260903_194021.jpg</t>
  </si>
  <si>
    <t>2026-09-03 19:40:15</t>
  </si>
  <si>
    <t>item_000674_20260903_194015.jpg</t>
  </si>
  <si>
    <t>2026-09-03 19:40:08</t>
  </si>
  <si>
    <t>item_000673_20260903_194008.jpg</t>
  </si>
  <si>
    <t>2026-09-03 19:40:03</t>
  </si>
  <si>
    <t>item_000672_20260903_194003.jpg</t>
  </si>
  <si>
    <t>2026-09-03 19:39:57</t>
  </si>
  <si>
    <t>item_000671_20260903_193957.jpg</t>
  </si>
  <si>
    <t>2026-09-03 19:39:50</t>
  </si>
  <si>
    <t>item_000670_20260903_193950.jpg</t>
  </si>
  <si>
    <t>2026-09-03 19:39:44</t>
  </si>
  <si>
    <t>item_000669_20260903_193944.jpg</t>
  </si>
  <si>
    <t>2026-09-03 19:39:37</t>
  </si>
  <si>
    <t>item_000668_20260903_193937.jpg</t>
  </si>
  <si>
    <t>2026-09-03 19:39:31</t>
  </si>
  <si>
    <t>item_000667_20260903_193931.jpg</t>
  </si>
  <si>
    <t>2026-09-03 19:39:24</t>
  </si>
  <si>
    <t>item_000666_20260903_193924.jpg</t>
  </si>
  <si>
    <t>2026-09-03 19:39:18</t>
  </si>
  <si>
    <t>item_000665_20260903_193918.jpg</t>
  </si>
  <si>
    <t>2026-09-03 19:39:11</t>
  </si>
  <si>
    <t>item_000664_20260903_193911.jpg</t>
  </si>
  <si>
    <t>2026-09-03 19:39:03</t>
  </si>
  <si>
    <t>item_000663_20260903_193903.jpg</t>
  </si>
  <si>
    <t>2026-09-03 19:38:57</t>
  </si>
  <si>
    <t>item_000662_20260903_193857.jpg</t>
  </si>
  <si>
    <t>2026-09-03 19:38:50</t>
  </si>
  <si>
    <t>item_000661_20260903_193850.jpg</t>
  </si>
  <si>
    <t>2026-09-03 19:38:46</t>
  </si>
  <si>
    <t>item_000660_20260903_193846.jpg</t>
  </si>
  <si>
    <t>2026-09-03 19:38:39</t>
  </si>
  <si>
    <t>item_000659_20260903_193839.jpg</t>
  </si>
  <si>
    <t>2026-09-03 19:38:33</t>
  </si>
  <si>
    <t>item_000658_20260903_193833.jpg</t>
  </si>
  <si>
    <t>2026-09-03 19:38:26</t>
  </si>
  <si>
    <t>item_000657_20260903_193826.jpg</t>
  </si>
  <si>
    <t>2026-09-03 19:38:19</t>
  </si>
  <si>
    <t>item_000656_20260903_193819.jpg</t>
  </si>
  <si>
    <t>2026-09-03 19:38:12</t>
  </si>
  <si>
    <t>item_000655_20260903_193812.jpg</t>
  </si>
  <si>
    <t>2026-09-03 19:38:06</t>
  </si>
  <si>
    <t>item_000654_20260903_193806.jpg</t>
  </si>
  <si>
    <t>2026-09-03 19:37:58</t>
  </si>
  <si>
    <t>item_000653_20260903_193758.jpg</t>
  </si>
  <si>
    <t>2026-09-03 19:37:52</t>
  </si>
  <si>
    <t>item_000652_20260903_193752.jpg</t>
  </si>
  <si>
    <t>2026-09-03 19:37:45</t>
  </si>
  <si>
    <t>item_000651_20260903_193745.jpg</t>
  </si>
  <si>
    <t>2026-09-03 19:37:04</t>
  </si>
  <si>
    <t>item_000650_20260903_193704.jpg</t>
  </si>
  <si>
    <t>2026-09-03 19:36:57</t>
  </si>
  <si>
    <t>item_000649_20260903_193657.jpg</t>
  </si>
  <si>
    <t>2026-09-03 19:36:50</t>
  </si>
  <si>
    <t>item_000648_20260903_193650.jpg</t>
  </si>
  <si>
    <t>2026-09-03 19:36:42</t>
  </si>
  <si>
    <t>item_000647_20260903_193642.jpg</t>
  </si>
  <si>
    <t>2026-09-03 19:36:33</t>
  </si>
  <si>
    <t>item_000646_20260903_193633.jpg</t>
  </si>
  <si>
    <t>2026-09-03 19:36:24</t>
  </si>
  <si>
    <t>item_000645_20260903_193624.jpg</t>
  </si>
  <si>
    <t>2026-09-03 19:36:16</t>
  </si>
  <si>
    <t>item_000644_20260903_193616.jpg</t>
  </si>
  <si>
    <t>2026-09-03 19:36:10</t>
  </si>
  <si>
    <t>item_000643_20260903_193610.jpg</t>
  </si>
  <si>
    <t>2026-09-03 19:36:02</t>
  </si>
  <si>
    <t>item_000642_20260903_193602.jpg</t>
  </si>
  <si>
    <t>2026-09-03 19:35:53</t>
  </si>
  <si>
    <t>item_000641_20260903_193553.jpg</t>
  </si>
  <si>
    <t>2026-09-03 19:35:46</t>
  </si>
  <si>
    <t>item_000640_20260903_193546.jpg</t>
  </si>
  <si>
    <t>2026-09-03 19:35:39</t>
  </si>
  <si>
    <t>item_000639_20260903_193539.jpg</t>
  </si>
  <si>
    <t>2026-09-03 19:35:32</t>
  </si>
  <si>
    <t>item_000638_20260903_193532.jpg</t>
  </si>
  <si>
    <t>2026-09-03 19:35:25</t>
  </si>
  <si>
    <t>item_000637_20260903_193525.jpg</t>
  </si>
  <si>
    <t>2026-09-03 19:35:17</t>
  </si>
  <si>
    <t>item_000636_20260903_193517.jpg</t>
  </si>
  <si>
    <t>2026-09-03 19:35:10</t>
  </si>
  <si>
    <t>item_000635_20260903_193510.jpg</t>
  </si>
  <si>
    <t>2026-09-03 19:35:03</t>
  </si>
  <si>
    <t>item_000634_20260903_193503.jpg</t>
  </si>
  <si>
    <t>2026-09-03 19:34:56</t>
  </si>
  <si>
    <t>item_000633_20260903_193456.jpg</t>
  </si>
  <si>
    <t>2026-09-03 19:34:48</t>
  </si>
  <si>
    <t>item_000632_20260903_193448.jpg</t>
  </si>
  <si>
    <t>2026-09-03 19:34:37</t>
  </si>
  <si>
    <t>item_000631_20260903_193437.jpg</t>
  </si>
  <si>
    <t>2026-09-03 19:34:30</t>
  </si>
  <si>
    <t>item_000630_20260903_193430.jpg</t>
  </si>
  <si>
    <t>2026-09-03 19:34:22</t>
  </si>
  <si>
    <t>item_000629_20260903_193422.jpg</t>
  </si>
  <si>
    <t>2026-09-03 19:34:08</t>
  </si>
  <si>
    <t>item_000628_20260903_193408.jpg</t>
  </si>
  <si>
    <t>2026-09-03 19:34:03</t>
  </si>
  <si>
    <t>item_000627_20260903_193403.jpg</t>
  </si>
  <si>
    <t>2026-09-03 19:33:55</t>
  </si>
  <si>
    <t>item_000626_20260903_193355.jpg</t>
  </si>
  <si>
    <t>2026-09-03 19:33:48</t>
  </si>
  <si>
    <t>item_000625_20260903_193348.jpg</t>
  </si>
  <si>
    <t>2026-09-03 19:33:40</t>
  </si>
  <si>
    <t>item_000624_20260903_193340.jpg</t>
  </si>
  <si>
    <t>2026-09-03 19:33:33</t>
  </si>
  <si>
    <t>item_000623_20260903_193333.jpg</t>
  </si>
  <si>
    <t>2026-09-03 19:33:25</t>
  </si>
  <si>
    <t>item_000622_20260903_193325.jpg</t>
  </si>
  <si>
    <t>2026-09-03 19:33:19</t>
  </si>
  <si>
    <t>item_000621_20260903_193319.jpg</t>
  </si>
  <si>
    <t>2026-09-03 19:33:11</t>
  </si>
  <si>
    <t>item_000620_20260903_193311.jpg</t>
  </si>
  <si>
    <t>2026-09-03 19:33:03</t>
  </si>
  <si>
    <t>item_000619_20260903_193303.jpg</t>
  </si>
  <si>
    <t>2026-09-03 19:32:54</t>
  </si>
  <si>
    <t>item_000618_20260903_193254.jpg</t>
  </si>
  <si>
    <t>2026-09-03 19:32:46</t>
  </si>
  <si>
    <t>item_000617_20260903_193246.jpg</t>
  </si>
  <si>
    <t>2026-09-03 19:32:39</t>
  </si>
  <si>
    <t>item_000616_20260903_193239.jpg</t>
  </si>
  <si>
    <t>2026-09-03 19:32:30</t>
  </si>
  <si>
    <t>item_000615_20260903_193230.jpg</t>
  </si>
  <si>
    <t>2026-09-03 19:32:23</t>
  </si>
  <si>
    <t>item_000614_20260903_193223.jpg</t>
  </si>
  <si>
    <t>2026-09-03 19:32:14</t>
  </si>
  <si>
    <t>item_000613_20260903_193214.jpg</t>
  </si>
  <si>
    <t>2026-09-03 19:32:07</t>
  </si>
  <si>
    <t>item_000612_20260903_193206.jpg</t>
  </si>
  <si>
    <t>2026-09-03 19:31:59</t>
  </si>
  <si>
    <t>item_000611_20260903_193159.jpg</t>
  </si>
  <si>
    <t>2026-09-03 19:31:51</t>
  </si>
  <si>
    <t>item_000610_20260903_193151.jpg</t>
  </si>
  <si>
    <t>2026-09-03 19:31:44</t>
  </si>
  <si>
    <t>item_000609_20260903_193144.jpg</t>
  </si>
  <si>
    <t>2026-09-03 19:31:35</t>
  </si>
  <si>
    <t>item_000608_20260903_193135.jpg</t>
  </si>
  <si>
    <t>2026-09-03 19:31:28</t>
  </si>
  <si>
    <t>item_000607_20260903_193128.jpg</t>
  </si>
  <si>
    <t>2026-09-03 19:31:20</t>
  </si>
  <si>
    <t>item_000606_20260903_193120.jpg</t>
  </si>
  <si>
    <t>2026-09-03 19:31:13</t>
  </si>
  <si>
    <t>item_000605_20260903_193113.jpg</t>
  </si>
  <si>
    <t>2026-09-03 19:31:05</t>
  </si>
  <si>
    <t>item_000604_20260903_193105.jpg</t>
  </si>
  <si>
    <t>2026-09-03 19:30:54</t>
  </si>
  <si>
    <t>item_000603_20260903_193054.jpg</t>
  </si>
  <si>
    <t>2026-09-03 19:30:47</t>
  </si>
  <si>
    <t>item_000602_20260903_193047.jpg</t>
  </si>
  <si>
    <t>2026-09-03 19:30:39</t>
  </si>
  <si>
    <t>item_000601_20260903_193039.jpg</t>
  </si>
  <si>
    <t>2026-09-03 19:30:18</t>
  </si>
  <si>
    <t>item_000600_20260903_193018.jpg</t>
  </si>
  <si>
    <t>2026-09-03 19:30:08</t>
  </si>
  <si>
    <t>item_000599_20260903_193008.jpg</t>
  </si>
  <si>
    <t>2026-09-03 19:29:58</t>
  </si>
  <si>
    <t>item_000598_20260903_192958.jpg</t>
  </si>
  <si>
    <t>2026-09-03 19:29:49</t>
  </si>
  <si>
    <t>item_000597_20260903_192949.jpg</t>
  </si>
  <si>
    <t>2026-09-03 19:29:40</t>
  </si>
  <si>
    <t>item_000596_20260903_192940.jpg</t>
  </si>
  <si>
    <t>2026-09-03 19:29:32</t>
  </si>
  <si>
    <t>item_000595_20260903_192932.jpg</t>
  </si>
  <si>
    <t>2026-09-03 19:29:21</t>
  </si>
  <si>
    <t>item_000594_20260903_192921.jpg</t>
  </si>
  <si>
    <t>2026-09-03 19:29:12</t>
  </si>
  <si>
    <t>item_000593_20260903_192912.jpg</t>
  </si>
  <si>
    <t>2026-09-03 19:29:03</t>
  </si>
  <si>
    <t>item_000592_20260903_192903.jpg</t>
  </si>
  <si>
    <t>2026-09-03 19:28:54</t>
  </si>
  <si>
    <t>item_000591_20260903_192854.jpg</t>
  </si>
  <si>
    <t>2026-09-03 19:28:44</t>
  </si>
  <si>
    <t>item_000590_20260903_192844.jpg</t>
  </si>
  <si>
    <t>2026-09-03 19:28:35</t>
  </si>
  <si>
    <t>item_000589_20260903_192835.jpg</t>
  </si>
  <si>
    <t>2026-09-03 19:28:26</t>
  </si>
  <si>
    <t>item_000588_20260903_192826.jpg</t>
  </si>
  <si>
    <t>2026-09-03 19:28:16</t>
  </si>
  <si>
    <t>item_000587_20260903_192816.jpg</t>
  </si>
  <si>
    <t>2026-09-03 19:28:06</t>
  </si>
  <si>
    <t>item_000586_20260903_192806.jpg</t>
  </si>
  <si>
    <t>2026-09-03 19:27:48</t>
  </si>
  <si>
    <t>item_000585_20260903_192748.jpg</t>
  </si>
  <si>
    <t>2026-09-03 19:27:38</t>
  </si>
  <si>
    <t>item_000584_20260903_192738.jpg</t>
  </si>
  <si>
    <t>2026-09-03 19:27:29</t>
  </si>
  <si>
    <t>item_000583_20260903_192729.jpg</t>
  </si>
  <si>
    <t>2026-09-03 19:27:19</t>
  </si>
  <si>
    <t>item_000582_20260903_192719.jpg</t>
  </si>
  <si>
    <t>2026-09-03 19:27:09</t>
  </si>
  <si>
    <t>item_000581_20260903_192709.jpg</t>
  </si>
  <si>
    <t>2026-09-03 19:27:01</t>
  </si>
  <si>
    <t>item_000580_20260903_192701.jpg</t>
  </si>
  <si>
    <t>2026-09-03 19:26:52</t>
  </si>
  <si>
    <t>item_000579_20260903_192652.jpg</t>
  </si>
  <si>
    <t>2026-09-03 19:26:41</t>
  </si>
  <si>
    <t>item_000578_20260903_192641.jpg</t>
  </si>
  <si>
    <t>2026-09-03 19:26:31</t>
  </si>
  <si>
    <t>item_000577_20260903_192631.jpg</t>
  </si>
  <si>
    <t>2026-09-03 19:26:23</t>
  </si>
  <si>
    <t>item_000576_20260903_192623.jpg</t>
  </si>
  <si>
    <t>2026-09-03 19:26:13</t>
  </si>
  <si>
    <t>item_000575_20260903_192613.jpg</t>
  </si>
  <si>
    <t>2026-09-03 19:26:04</t>
  </si>
  <si>
    <t>item_000574_20260903_192604.jpg</t>
  </si>
  <si>
    <t>2026-09-03 19:25:54</t>
  </si>
  <si>
    <t>item_000573_20260903_192554.jpg</t>
  </si>
  <si>
    <t>2026-09-03 19:25:45</t>
  </si>
  <si>
    <t>item_000572_20260903_192545.jpg</t>
  </si>
  <si>
    <t>2026-09-03 19:25:36</t>
  </si>
  <si>
    <t>item_000571_20260903_192536.jpg</t>
  </si>
  <si>
    <t>2026-09-03 19:25:26</t>
  </si>
  <si>
    <t>item_000570_20260903_192526.jpg</t>
  </si>
  <si>
    <t>2026-09-03 19:25:16</t>
  </si>
  <si>
    <t>item_000569_20260903_192516.jpg</t>
  </si>
  <si>
    <t>2026-09-03 19:25:06</t>
  </si>
  <si>
    <t>item_000568_20260903_192506.jpg</t>
  </si>
  <si>
    <t>2026-09-03 19:24:57</t>
  </si>
  <si>
    <t>item_000567_20260903_192457.jpg</t>
  </si>
  <si>
    <t>2026-09-03 19:24:45</t>
  </si>
  <si>
    <t>item_000566_20260903_192445.jpg</t>
  </si>
  <si>
    <t>2026-09-03 19:24:35</t>
  </si>
  <si>
    <t>item_000565_20260903_192435.jpg</t>
  </si>
  <si>
    <t>2026-09-03 19:24:24</t>
  </si>
  <si>
    <t>item_000564_20260903_192424.jpg</t>
  </si>
  <si>
    <t>2026-09-03 19:24:15</t>
  </si>
  <si>
    <t>item_000563_20260903_192415.jpg</t>
  </si>
  <si>
    <t>2026-09-03 19:24:06</t>
  </si>
  <si>
    <t>item_000562_20260903_192406.jpg</t>
  </si>
  <si>
    <t>2026-09-03 19:23:56</t>
  </si>
  <si>
    <t>item_000561_20260903_192356.jpg</t>
  </si>
  <si>
    <t>2026-09-03 19:23:47</t>
  </si>
  <si>
    <t>item_000560_20260903_192347.jpg</t>
  </si>
  <si>
    <t>2026-09-03 19:23:38</t>
  </si>
  <si>
    <t>item_000559_20260903_192338.jpg</t>
  </si>
  <si>
    <t>2026-09-03 19:23:29</t>
  </si>
  <si>
    <t>item_000558_20260903_192329.jpg</t>
  </si>
  <si>
    <t>2026-09-03 19:23:20</t>
  </si>
  <si>
    <t>item_000557_20260903_192320.jpg</t>
  </si>
  <si>
    <t>2026-09-03 19:23:12</t>
  </si>
  <si>
    <t>item_000556_20260903_192312.jpg</t>
  </si>
  <si>
    <t>2026-09-03 19:23:03</t>
  </si>
  <si>
    <t>item_000555_20260903_192303.jpg</t>
  </si>
  <si>
    <t>2026-09-03 19:22:52</t>
  </si>
  <si>
    <t>item_000554_20260903_192252.jpg</t>
  </si>
  <si>
    <t>2026-09-03 19:22:42</t>
  </si>
  <si>
    <t>item_000553_20260903_192242.jpg</t>
  </si>
  <si>
    <t>2026-09-03 19:22:31</t>
  </si>
  <si>
    <t>item_000552_20260903_192231.jpg</t>
  </si>
  <si>
    <t>2026-09-03 19:22:20</t>
  </si>
  <si>
    <t>item_000551_20260903_192220.jpg</t>
  </si>
  <si>
    <t>2026-09-03 19:21:55</t>
  </si>
  <si>
    <t>item_000550_20260903_192155.jpg</t>
  </si>
  <si>
    <t>2026-09-03 19:21:46</t>
  </si>
  <si>
    <t>item_000549_20260903_192146.jpg</t>
  </si>
  <si>
    <t>2026-09-03 19:21:29</t>
  </si>
  <si>
    <t>item_000548_20260903_192129.jpg</t>
  </si>
  <si>
    <t>2026-09-03 19:21:18</t>
  </si>
  <si>
    <t>item_000547_20260903_192118.jpg</t>
  </si>
  <si>
    <t>2026-09-03 19:21:07</t>
  </si>
  <si>
    <t>item_000546_20260903_192107.jpg</t>
  </si>
  <si>
    <t>2026-09-03 19:20:54</t>
  </si>
  <si>
    <t>item_000545_20260903_192054.jpg</t>
  </si>
  <si>
    <t>2026-09-03 19:20:42</t>
  </si>
  <si>
    <t>item_000544_20260903_192042.jpg</t>
  </si>
  <si>
    <t>2026-09-03 19:20:27</t>
  </si>
  <si>
    <t>item_000543_20260903_192027.jpg</t>
  </si>
  <si>
    <t>2026-09-03 19:20:16</t>
  </si>
  <si>
    <t>item_000542_20260903_192016.jpg</t>
  </si>
  <si>
    <t>2026-09-03 19:20:01</t>
  </si>
  <si>
    <t>item_000541_20260903_192001.jpg</t>
  </si>
  <si>
    <t>2026-09-03 19:19:49</t>
  </si>
  <si>
    <t>item_000540_20260903_191949.jpg</t>
  </si>
  <si>
    <t>2026-09-03 19:19:35</t>
  </si>
  <si>
    <t>item_000539_20260903_191935.jpg</t>
  </si>
  <si>
    <t>2026-09-03 19:18:29</t>
  </si>
  <si>
    <t>item_000538_20260903_191829.jpg</t>
  </si>
  <si>
    <t>2026-09-03 19:18:14</t>
  </si>
  <si>
    <t>item_000537_20260903_191814.jpg</t>
  </si>
  <si>
    <t>2026-09-03 19:17:53</t>
  </si>
  <si>
    <t>item_000536_20260903_191753.jpg</t>
  </si>
  <si>
    <t>2026-09-03 19:17:39</t>
  </si>
  <si>
    <t>item_000535_20260903_191739.jpg</t>
  </si>
  <si>
    <t>2026-09-03 19:17:27</t>
  </si>
  <si>
    <t>item_000534_20260903_191727.jpg</t>
  </si>
  <si>
    <t>2026-09-03 19:17:14</t>
  </si>
  <si>
    <t>item_000533_20260903_191714.jpg</t>
  </si>
  <si>
    <t>2026-09-03 19:17:06</t>
  </si>
  <si>
    <t>item_000532_20260903_191706.jpg</t>
  </si>
  <si>
    <t>2026-09-03 19:16:53</t>
  </si>
  <si>
    <t>item_000531_20260903_191653.jpg</t>
  </si>
  <si>
    <t>2026-09-03 19:16:40</t>
  </si>
  <si>
    <t>item_000530_20260903_191640.jpg</t>
  </si>
  <si>
    <t>2026-09-03 19:16:27</t>
  </si>
  <si>
    <t>item_000529_20260903_191627.jpg</t>
  </si>
  <si>
    <t>2026-09-03 19:16:17</t>
  </si>
  <si>
    <t>item_000528_20260903_191617.jpg</t>
  </si>
  <si>
    <t>2026-09-03 19:16:05</t>
  </si>
  <si>
    <t>item_000527_20260903_191605.jpg</t>
  </si>
  <si>
    <t>2026-09-03 19:15:48</t>
  </si>
  <si>
    <t>item_000526_20260903_191548.jpg</t>
  </si>
  <si>
    <t>2026-09-03 19:15:35</t>
  </si>
  <si>
    <t>item_000525_20260903_191535.jpg</t>
  </si>
  <si>
    <t>2026-09-03 19:15:24</t>
  </si>
  <si>
    <t>item_000524_20260903_191524.jpg</t>
  </si>
  <si>
    <t>2026-09-03 19:15:07</t>
  </si>
  <si>
    <t>item_000523_20260903_191507.jpg</t>
  </si>
  <si>
    <t>2026-09-03 19:14:54</t>
  </si>
  <si>
    <t>item_000522_20260903_191454.jpg</t>
  </si>
  <si>
    <t>2026-09-03 19:14:38</t>
  </si>
  <si>
    <t>item_000521_20260903_191438.jpg</t>
  </si>
  <si>
    <t>2026-09-03 19:14:21</t>
  </si>
  <si>
    <t>item_000520_20260903_191421.jpg</t>
  </si>
  <si>
    <t>2026-09-03 19:14:08</t>
  </si>
  <si>
    <t>item_000519_20260903_191408.jpg</t>
  </si>
  <si>
    <t>2026-09-03 19:13:56</t>
  </si>
  <si>
    <t>item_000518_20260903_191356.jpg</t>
  </si>
  <si>
    <t>2026-09-03 19:13:35</t>
  </si>
  <si>
    <t>item_000517_20260903_191335.jpg</t>
  </si>
  <si>
    <t>2026-09-03 19:13:19</t>
  </si>
  <si>
    <t>item_000516_20260903_191319.jpg</t>
  </si>
  <si>
    <t>2026-09-03 19:13:07</t>
  </si>
  <si>
    <t>item_000515_20260903_191307.jpg</t>
  </si>
  <si>
    <t>2026-09-03 19:12:55</t>
  </si>
  <si>
    <t>item_000514_20260903_191255.jpg</t>
  </si>
  <si>
    <t>2026-09-03 19:12:26</t>
  </si>
  <si>
    <t>item_000513_20260903_191226.jpg</t>
  </si>
  <si>
    <t>2026-09-03 19:12:13</t>
  </si>
  <si>
    <t>item_000512_20260903_191212.jpg</t>
  </si>
  <si>
    <t>2026-09-03 19:12:00</t>
  </si>
  <si>
    <t>item_000511_20260903_191200.jpg</t>
  </si>
  <si>
    <t>2026-09-03 19:11:47</t>
  </si>
  <si>
    <t>item_000510_20260903_191147.jpg</t>
  </si>
  <si>
    <t>2026-09-03 19:11:19</t>
  </si>
  <si>
    <t>item_000509_20260903_191119.jpg</t>
  </si>
  <si>
    <t>2026-09-03 19:11:05</t>
  </si>
  <si>
    <t>item_000508_20260903_191105.jpg</t>
  </si>
  <si>
    <t>2026-09-03 19:10:47</t>
  </si>
  <si>
    <t>item_000507_20260903_191047.jpg</t>
  </si>
  <si>
    <t>2026-09-03 19:10:29</t>
  </si>
  <si>
    <t>item_000506_20260903_191029.jpg</t>
  </si>
  <si>
    <t>2026-09-03 19:09:27</t>
  </si>
  <si>
    <t>item_000505_20260903_190927.jpg</t>
  </si>
  <si>
    <t>2026-09-03 19:09:08</t>
  </si>
  <si>
    <t>item_000504_20260903_190908.jpg</t>
  </si>
  <si>
    <t>2026-09-03 19:08:50</t>
  </si>
  <si>
    <t>item_000503_20260903_190850.jpg</t>
  </si>
  <si>
    <t>2026-09-03 19:08:32</t>
  </si>
  <si>
    <t>item_000502_20260903_190832.jpg</t>
  </si>
  <si>
    <t>2026-09-03 19:07:52</t>
  </si>
  <si>
    <t>item_000501_20260903_190752.jpg</t>
  </si>
  <si>
    <t>2026-09-03 18:16:55</t>
  </si>
  <si>
    <t>item_000500_20260903_181655.jpg</t>
  </si>
  <si>
    <t>2026-09-03 18:16:45</t>
  </si>
  <si>
    <t>item_000499_20260903_181645.jpg</t>
  </si>
  <si>
    <t>2026-09-03 18:16:38</t>
  </si>
  <si>
    <t>item_000498_20260903_181638.jpg</t>
  </si>
  <si>
    <t>2026-09-03 18:16:28</t>
  </si>
  <si>
    <t>item_000497_20260903_181628.jpg</t>
  </si>
  <si>
    <t>2026-09-03 18:16:20</t>
  </si>
  <si>
    <t>item_000496_20260903_181620.jpg</t>
  </si>
  <si>
    <t>2026-09-03 18:16:13</t>
  </si>
  <si>
    <t>item_000495_20260903_181613.jpg</t>
  </si>
  <si>
    <t>2026-09-03 18:16:05</t>
  </si>
  <si>
    <t>item_000494_20260903_181605.jpg</t>
  </si>
  <si>
    <t>2026-09-03 18:15:58</t>
  </si>
  <si>
    <t>item_000493_20260903_181558.jpg</t>
  </si>
  <si>
    <t>2026-09-03 18:15:47</t>
  </si>
  <si>
    <t>item_000492_20260903_181547.jpg</t>
  </si>
  <si>
    <t>2026-09-03 18:15:37</t>
  </si>
  <si>
    <t>item_000491_20260903_181537.jpg</t>
  </si>
  <si>
    <t>2026-09-03 18:15:24</t>
  </si>
  <si>
    <t>item_000490_20260903_181524.jpg</t>
  </si>
  <si>
    <t>2026-09-03 18:15:15</t>
  </si>
  <si>
    <t>item_000489_20260903_181515.jpg</t>
  </si>
  <si>
    <t>2026-09-03 18:15:04</t>
  </si>
  <si>
    <t>item_000488_20260903_181504.jpg</t>
  </si>
  <si>
    <t>2026-09-03 18:14:54</t>
  </si>
  <si>
    <t>item_000487_20260903_181454.jpg</t>
  </si>
  <si>
    <t>2026-09-03 18:14:48</t>
  </si>
  <si>
    <t>item_000486_20260903_181448.jpg</t>
  </si>
  <si>
    <t>2026-09-03 18:14:40</t>
  </si>
  <si>
    <t>item_000485_20260903_181440.jpg</t>
  </si>
  <si>
    <t>2026-09-03 18:14:33</t>
  </si>
  <si>
    <t>item_000484_20260903_181433.jpg</t>
  </si>
  <si>
    <t>2026-09-03 18:14:24</t>
  </si>
  <si>
    <t>item_000483_20260903_181424.jpg</t>
  </si>
  <si>
    <t>2026-09-03 18:14:17</t>
  </si>
  <si>
    <t>item_000482_20260903_181417.jpg</t>
  </si>
  <si>
    <t>2026-09-03 18:14:09</t>
  </si>
  <si>
    <t>item_000481_20260903_181409.jpg</t>
  </si>
  <si>
    <t>2026-09-03 18:14:02</t>
  </si>
  <si>
    <t>item_000480_20260903_181402.jpg</t>
  </si>
  <si>
    <t>2026-09-03 18:13:55</t>
  </si>
  <si>
    <t>item_000479_20260903_181355.jpg</t>
  </si>
  <si>
    <t>2026-09-03 18:13:47</t>
  </si>
  <si>
    <t>item_000478_20260903_181347.jpg</t>
  </si>
  <si>
    <t>2026-09-03 18:13:39</t>
  </si>
  <si>
    <t>item_000477_20260903_181339.jpg</t>
  </si>
  <si>
    <t>2026-09-03 18:13:31</t>
  </si>
  <si>
    <t>item_000476_20260903_181331.jpg</t>
  </si>
  <si>
    <t>2026-09-03 18:13:23</t>
  </si>
  <si>
    <t>item_000475_20260903_181323.jpg</t>
  </si>
  <si>
    <t>2026-09-03 18:13:16</t>
  </si>
  <si>
    <t>item_000474_20260903_181316.jpg</t>
  </si>
  <si>
    <t>2026-09-03 18:13:07</t>
  </si>
  <si>
    <t>item_000473_20260903_181307.jpg</t>
  </si>
  <si>
    <t>2026-09-03 18:13:00</t>
  </si>
  <si>
    <t>item_000472_20260903_181300.jpg</t>
  </si>
  <si>
    <t>2026-09-03 18:12:53</t>
  </si>
  <si>
    <t>item_000471_20260903_181253.jpg</t>
  </si>
  <si>
    <t>2026-09-03 18:12:28</t>
  </si>
  <si>
    <t>item_000470_20260903_181227.jpg</t>
  </si>
  <si>
    <t>2026-09-03 18:12:20</t>
  </si>
  <si>
    <t>item_000469_20260903_181220.jpg</t>
  </si>
  <si>
    <t>2026-09-03 18:12:13</t>
  </si>
  <si>
    <t>item_000468_20260903_181213.jpg</t>
  </si>
  <si>
    <t>2026-09-03 18:12:07</t>
  </si>
  <si>
    <t>item_000467_20260903_181207.jpg</t>
  </si>
  <si>
    <t>2026-09-03 18:11:43</t>
  </si>
  <si>
    <t>item_000466_20260903_181143.jpg</t>
  </si>
  <si>
    <t>2026-09-03 18:11:35</t>
  </si>
  <si>
    <t>item_000465_20260903_181135.jpg</t>
  </si>
  <si>
    <t>2026-09-03 18:11:29</t>
  </si>
  <si>
    <t>item_000464_20260903_181129.jpg</t>
  </si>
  <si>
    <t>2026-09-03 18:11:22</t>
  </si>
  <si>
    <t>item_000463_20260903_181122.jpg</t>
  </si>
  <si>
    <t>2026-09-03 18:10:55</t>
  </si>
  <si>
    <t>item_000462_20260903_181055.jpg</t>
  </si>
  <si>
    <t>2026-09-03 18:10:48</t>
  </si>
  <si>
    <t>item_000461_20260903_181048.jpg</t>
  </si>
  <si>
    <t>2026-09-03 18:10:42</t>
  </si>
  <si>
    <t>item_000460_20260903_181042.jpg</t>
  </si>
  <si>
    <t>2026-09-03 18:10:35</t>
  </si>
  <si>
    <t>item_000459_20260903_181035.jpg</t>
  </si>
  <si>
    <t>2026-09-03 18:10:07</t>
  </si>
  <si>
    <t>item_000458_20260903_181007.jpg</t>
  </si>
  <si>
    <t>2026-09-03 18:10:01</t>
  </si>
  <si>
    <t>item_000457_20260903_181001.jpg</t>
  </si>
  <si>
    <t>2026-09-03 18:09:56</t>
  </si>
  <si>
    <t>item_000456_20260903_180956.jpg</t>
  </si>
  <si>
    <t>2026-09-03 18:09:49</t>
  </si>
  <si>
    <t>item_000455_20260903_180949.jpg</t>
  </si>
  <si>
    <t>2026-09-03 18:09:34</t>
  </si>
  <si>
    <t>item_000454_20260903_180934.jpg</t>
  </si>
  <si>
    <t>2026-09-03 18:09:21</t>
  </si>
  <si>
    <t>item_000453_20260903_180921.jpg</t>
  </si>
  <si>
    <t>2026-09-03 18:09:09</t>
  </si>
  <si>
    <t>item_000452_20260903_180909.jpg</t>
  </si>
  <si>
    <t>2026-09-03 18:08:52</t>
  </si>
  <si>
    <t>item_000451_20260903_180852.jpg</t>
  </si>
  <si>
    <t>2026-09-03 18:00:26</t>
  </si>
  <si>
    <t>item_000450_20260903_180026.jpg</t>
  </si>
  <si>
    <t>2026-09-03 18:00:10</t>
  </si>
  <si>
    <t>item_000449_20260903_180010.jpg</t>
  </si>
  <si>
    <t>2026-09-03 17:59:51</t>
  </si>
  <si>
    <t>item_000448_20260903_175951.jpg</t>
  </si>
  <si>
    <t>2026-09-03 17:59:37</t>
  </si>
  <si>
    <t>item_000447_20260903_175937.jpg</t>
  </si>
  <si>
    <t>2026-09-03 17:59:20</t>
  </si>
  <si>
    <t>item_000446_20260903_175920.jpg</t>
  </si>
  <si>
    <t>2026-09-03 17:59:05</t>
  </si>
  <si>
    <t>item_000445_20260903_175905.jpg</t>
  </si>
  <si>
    <t>2026-09-03 17:58:46</t>
  </si>
  <si>
    <t>item_000444_20260903_175846.jpg</t>
  </si>
  <si>
    <t>2026-09-03 17:58:32</t>
  </si>
  <si>
    <t>item_000443_20260903_175832.jpg</t>
  </si>
  <si>
    <t>2026-09-03 17:58:15</t>
  </si>
  <si>
    <t>item_000442_20260903_175815.jpg</t>
  </si>
  <si>
    <t>2026-09-03 17:57:59</t>
  </si>
  <si>
    <t>item_000441_20260903_175759.jpg</t>
  </si>
  <si>
    <t>2026-09-03 17:57:40</t>
  </si>
  <si>
    <t>item_000440_20260903_175740.jpg</t>
  </si>
  <si>
    <t>2026-09-03 17:57:26</t>
  </si>
  <si>
    <t>item_000439_20260903_175726.jpg</t>
  </si>
  <si>
    <t>2026-09-03 17:57:09</t>
  </si>
  <si>
    <t>item_000438_20260903_175709.jpg</t>
  </si>
  <si>
    <t>2026-09-03 17:56:54</t>
  </si>
  <si>
    <t>item_000437_20260903_175654.jpg</t>
  </si>
  <si>
    <t>2026-09-03 17:56:35</t>
  </si>
  <si>
    <t>item_000436_20260903_175635.jpg</t>
  </si>
  <si>
    <t>2026-09-03 17:56:21</t>
  </si>
  <si>
    <t>item_000435_20260903_175621.jpg</t>
  </si>
  <si>
    <t>2026-09-03 17:56:04</t>
  </si>
  <si>
    <t>item_000434_20260903_175604.jpg</t>
  </si>
  <si>
    <t>2026-09-03 17:55:48</t>
  </si>
  <si>
    <t>item_000433_20260903_175548.jpg</t>
  </si>
  <si>
    <t>2026-09-03 17:55:30</t>
  </si>
  <si>
    <t>item_000432_20260903_175530.jpg</t>
  </si>
  <si>
    <t>2026-09-03 17:55:15</t>
  </si>
  <si>
    <t>item_000431_20260903_175515.jpg</t>
  </si>
  <si>
    <t>2026-09-03 17:54:59</t>
  </si>
  <si>
    <t>item_000430_20260903_175459.jpg</t>
  </si>
  <si>
    <t>2026-09-03 17:54:43</t>
  </si>
  <si>
    <t>item_000429_20260903_175443.jpg</t>
  </si>
  <si>
    <t>2026-09-03 17:54:24</t>
  </si>
  <si>
    <t>item_000428_20260903_175424.jpg</t>
  </si>
  <si>
    <t>2026-09-03 17:54:10</t>
  </si>
  <si>
    <t>item_000427_20260903_175410.jpg</t>
  </si>
  <si>
    <t>2026-09-03 17:53:53</t>
  </si>
  <si>
    <t>item_000426_20260903_175353.jpg</t>
  </si>
  <si>
    <t>2026-09-03 17:53:37</t>
  </si>
  <si>
    <t>item_000425_20260903_175337.jpg</t>
  </si>
  <si>
    <t>2026-09-03 17:53:19</t>
  </si>
  <si>
    <t>item_000424_20260903_175319.jpg</t>
  </si>
  <si>
    <t>2026-09-03 17:53:04</t>
  </si>
  <si>
    <t>item_000423_20260903_175304.jpg</t>
  </si>
  <si>
    <t>2026-09-03 17:52:48</t>
  </si>
  <si>
    <t>item_000422_20260903_175248.jpg</t>
  </si>
  <si>
    <t>2026-09-03 17:52:32</t>
  </si>
  <si>
    <t>item_000421_20260903_175232.jpg</t>
  </si>
  <si>
    <t>2026-09-03 17:52:13</t>
  </si>
  <si>
    <t>item_000420_20260903_175213.jpg</t>
  </si>
  <si>
    <t>2026-09-03 17:51:58</t>
  </si>
  <si>
    <t>item_000419_20260903_175158.jpg</t>
  </si>
  <si>
    <t>2026-09-03 17:51:42</t>
  </si>
  <si>
    <t>item_000418_20260903_175142.jpg</t>
  </si>
  <si>
    <t>2026-09-03 17:51:26</t>
  </si>
  <si>
    <t>item_000417_20260903_175126.jpg</t>
  </si>
  <si>
    <t>2026-09-03 17:51:08</t>
  </si>
  <si>
    <t>item_000416_20260903_175108.jpg</t>
  </si>
  <si>
    <t>2026-09-03 17:50:53</t>
  </si>
  <si>
    <t>item_000415_20260903_175053.jpg</t>
  </si>
  <si>
    <t>2026-09-03 17:50:37</t>
  </si>
  <si>
    <t>item_000414_20260903_175037.jpg</t>
  </si>
  <si>
    <t>2026-09-03 17:50:20</t>
  </si>
  <si>
    <t>item_000413_20260903_175020.jpg</t>
  </si>
  <si>
    <t>2026-09-03 17:50:02</t>
  </si>
  <si>
    <t>item_000412_20260903_175002.jpg</t>
  </si>
  <si>
    <t>2026-09-03 17:49:47</t>
  </si>
  <si>
    <t>item_000411_20260903_174947.jpg</t>
  </si>
  <si>
    <t>2026-09-03 17:49:31</t>
  </si>
  <si>
    <t>item_000410_20260903_174931.jpg</t>
  </si>
  <si>
    <t>2026-09-03 17:49:15</t>
  </si>
  <si>
    <t>item_000409_20260903_174915.jpg</t>
  </si>
  <si>
    <t>2026-09-03 17:48:57</t>
  </si>
  <si>
    <t>item_000408_20260903_174857.jpg</t>
  </si>
  <si>
    <t>2026-09-03 17:48:42</t>
  </si>
  <si>
    <t>item_000407_20260903_174842.jpg</t>
  </si>
  <si>
    <t>2026-09-03 17:48:26</t>
  </si>
  <si>
    <t>item_000406_20260903_174826.jpg</t>
  </si>
  <si>
    <t>2026-09-03 17:48:09</t>
  </si>
  <si>
    <t>item_000405_20260903_174809.jpg</t>
  </si>
  <si>
    <t>2026-09-03 17:47:52</t>
  </si>
  <si>
    <t>item_000404_20260903_174752.jpg</t>
  </si>
  <si>
    <t>2026-09-03 17:47:36</t>
  </si>
  <si>
    <t>item_000403_20260903_174736.jpg</t>
  </si>
  <si>
    <t>2026-09-03 17:47:20</t>
  </si>
  <si>
    <t>item_000402_20260903_174720.jpg</t>
  </si>
  <si>
    <t>2026-09-03 17:47:03</t>
  </si>
  <si>
    <t>item_000401_20260903_174703.jpg</t>
  </si>
  <si>
    <t>2026-09-03 17:15:31</t>
  </si>
  <si>
    <t>item_000400_20260903_171531.jpg</t>
  </si>
  <si>
    <t>2026-09-03 17:15:11</t>
  </si>
  <si>
    <t>item_000399_20260903_171511.jpg</t>
  </si>
  <si>
    <t>2026-09-03 17:14:49</t>
  </si>
  <si>
    <t>item_000398_20260903_171449.jpg</t>
  </si>
  <si>
    <t>2026-09-03 17:14:32</t>
  </si>
  <si>
    <t>item_000397_20260903_171432.jpg</t>
  </si>
  <si>
    <t>2026-09-03 17:14:14</t>
  </si>
  <si>
    <t>item_000396_20260903_171414.jpg</t>
  </si>
  <si>
    <t>2026-09-03 17:13:54</t>
  </si>
  <si>
    <t>item_000395_20260903_171354.jpg</t>
  </si>
  <si>
    <t>2026-09-03 17:13:32</t>
  </si>
  <si>
    <t>item_000394_20260903_171332.jpg</t>
  </si>
  <si>
    <t>2026-09-03 17:13:16</t>
  </si>
  <si>
    <t>item_000393_20260903_171316.jpg</t>
  </si>
  <si>
    <t>2026-09-03 17:12:58</t>
  </si>
  <si>
    <t>item_000392_20260903_171258.jpg</t>
  </si>
  <si>
    <t>2026-09-03 17:12:37</t>
  </si>
  <si>
    <t>item_000391_20260903_171237.jpg</t>
  </si>
  <si>
    <t>2026-09-03 17:12:16</t>
  </si>
  <si>
    <t>item_000390_20260903_171216.jpg</t>
  </si>
  <si>
    <t>2026-09-03 17:11:59</t>
  </si>
  <si>
    <t>item_000389_20260903_171159.jpg</t>
  </si>
  <si>
    <t>2026-09-03 17:11:41</t>
  </si>
  <si>
    <t>item_000388_20260903_171141.jpg</t>
  </si>
  <si>
    <t>2026-09-03 17:11:21</t>
  </si>
  <si>
    <t>item_000387_20260903_171121.jpg</t>
  </si>
  <si>
    <t>2026-09-03 17:10:59</t>
  </si>
  <si>
    <t>item_000386_20260903_171059.jpg</t>
  </si>
  <si>
    <t>2026-09-03 17:10:43</t>
  </si>
  <si>
    <t>item_000385_20260903_171043.jpg</t>
  </si>
  <si>
    <t>2026-09-03 17:10:25</t>
  </si>
  <si>
    <t>item_000384_20260903_171025.jpg</t>
  </si>
  <si>
    <t>2026-09-03 17:10:04</t>
  </si>
  <si>
    <t>item_000383_20260903_171004.jpg</t>
  </si>
  <si>
    <t>2026-09-03 17:09:43</t>
  </si>
  <si>
    <t>item_000382_20260903_170943.jpg</t>
  </si>
  <si>
    <t>2026-09-03 17:09:26</t>
  </si>
  <si>
    <t>item_000381_20260903_170926.jpg</t>
  </si>
  <si>
    <t>2026-09-03 17:09:09</t>
  </si>
  <si>
    <t>item_000380_20260903_170908.jpg</t>
  </si>
  <si>
    <t>2026-09-03 17:08:48</t>
  </si>
  <si>
    <t>item_000379_20260903_170848.jpg</t>
  </si>
  <si>
    <t>2026-09-03 17:08:26</t>
  </si>
  <si>
    <t>item_000378_20260903_170826.jpg</t>
  </si>
  <si>
    <t>2026-09-03 17:08:09</t>
  </si>
  <si>
    <t>item_000377_20260903_170809.jpg</t>
  </si>
  <si>
    <t>2026-09-03 17:07:52</t>
  </si>
  <si>
    <t>item_000376_20260903_170752.jpg</t>
  </si>
  <si>
    <t>2026-09-03 17:07:31</t>
  </si>
  <si>
    <t>item_000375_20260903_170731.jpg</t>
  </si>
  <si>
    <t>2026-09-03 17:07:10</t>
  </si>
  <si>
    <t>item_000374_20260903_170710.jpg</t>
  </si>
  <si>
    <t>2026-09-03 17:06:52</t>
  </si>
  <si>
    <t>item_000373_20260903_170652.jpg</t>
  </si>
  <si>
    <t>2026-09-03 17:06:36</t>
  </si>
  <si>
    <t>item_000372_20260903_170636.jpg</t>
  </si>
  <si>
    <t>2026-09-03 17:06:14</t>
  </si>
  <si>
    <t>item_000371_20260903_170614.jpg</t>
  </si>
  <si>
    <t>2026-09-03 17:05:53</t>
  </si>
  <si>
    <t>item_000370_20260903_170553.jpg</t>
  </si>
  <si>
    <t>2026-09-03 17:05:36</t>
  </si>
  <si>
    <t>item_000369_20260903_170536.jpg</t>
  </si>
  <si>
    <t>2026-09-03 17:05:19</t>
  </si>
  <si>
    <t>item_000368_20260903_170519.jpg</t>
  </si>
  <si>
    <t>2026-09-03 17:04:58</t>
  </si>
  <si>
    <t>item_000367_20260903_170458.jpg</t>
  </si>
  <si>
    <t>2026-09-03 17:04:37</t>
  </si>
  <si>
    <t>item_000366_20260903_170437.jpg</t>
  </si>
  <si>
    <t>2026-09-03 17:04:19</t>
  </si>
  <si>
    <t>item_000365_20260903_170419.jpg</t>
  </si>
  <si>
    <t>2026-09-03 17:04:02</t>
  </si>
  <si>
    <t>item_000364_20260903_170402.jpg</t>
  </si>
  <si>
    <t>2026-09-03 17:03:41</t>
  </si>
  <si>
    <t>item_000363_20260903_170341.jpg</t>
  </si>
  <si>
    <t>2026-09-03 17:03:20</t>
  </si>
  <si>
    <t>item_000362_20260903_170320.jpg</t>
  </si>
  <si>
    <t>2026-09-03 17:03:03</t>
  </si>
  <si>
    <t>item_000361_20260903_170303.jpg</t>
  </si>
  <si>
    <t>2026-09-03 17:02:46</t>
  </si>
  <si>
    <t>item_000360_20260903_170246.jpg</t>
  </si>
  <si>
    <t>2026-09-03 17:02:24</t>
  </si>
  <si>
    <t>item_000359_20260903_170224.jpg</t>
  </si>
  <si>
    <t>2026-09-03 17:02:03</t>
  </si>
  <si>
    <t>item_000358_20260903_170203.jpg</t>
  </si>
  <si>
    <t>2026-09-03 17:01:46</t>
  </si>
  <si>
    <t>item_000357_20260903_170146.jpg</t>
  </si>
  <si>
    <t>2026-09-03 17:01:30</t>
  </si>
  <si>
    <t>item_000356_20260903_170130.jpg</t>
  </si>
  <si>
    <t>2026-09-03 17:01:08</t>
  </si>
  <si>
    <t>item_000355_20260903_170108.jpg</t>
  </si>
  <si>
    <t>2026-09-03 17:00:47</t>
  </si>
  <si>
    <t>item_000354_20260903_170047.jpg</t>
  </si>
  <si>
    <t>2026-09-03 17:00:29</t>
  </si>
  <si>
    <t>item_000353_20260903_170029.jpg</t>
  </si>
  <si>
    <t>2026-09-03 17:00:13</t>
  </si>
  <si>
    <t>item_000352_20260903_170013.jpg</t>
  </si>
  <si>
    <t>2026-09-03 16:59:51</t>
  </si>
  <si>
    <t>item_000351_20260903_165951.jpg</t>
  </si>
  <si>
    <t>2026-09-03 16:42:18</t>
  </si>
  <si>
    <t>item_000350_20260903_164218.jpg</t>
  </si>
  <si>
    <t>2026-09-03 16:41:55</t>
  </si>
  <si>
    <t>item_000349_20260903_164155.jpg</t>
  </si>
  <si>
    <t>2026-09-03 16:41:25</t>
  </si>
  <si>
    <t>item_000348_20260903_164125.jpg</t>
  </si>
  <si>
    <t>2026-09-03 16:41:06</t>
  </si>
  <si>
    <t>item_000347_20260903_164106.jpg</t>
  </si>
  <si>
    <t>2026-09-03 16:40:46</t>
  </si>
  <si>
    <t>item_000346_20260903_164046.jpg</t>
  </si>
  <si>
    <t>2026-09-03 16:40:22</t>
  </si>
  <si>
    <t>item_000345_20260903_164022.jpg</t>
  </si>
  <si>
    <t>2026-09-03 16:39:53</t>
  </si>
  <si>
    <t>item_000344_20260903_163953.jpg</t>
  </si>
  <si>
    <t>2026-09-03 16:39:34</t>
  </si>
  <si>
    <t>item_000343_20260903_163934.jpg</t>
  </si>
  <si>
    <t>2026-09-03 16:39:13</t>
  </si>
  <si>
    <t>item_000342_20260903_163913.jpg</t>
  </si>
  <si>
    <t>2026-09-03 16:38:50</t>
  </si>
  <si>
    <t>item_000341_20260903_163850.jpg</t>
  </si>
  <si>
    <t>2026-09-03 16:38:21</t>
  </si>
  <si>
    <t>item_000340_20260903_163821.jpg</t>
  </si>
  <si>
    <t>2026-09-03 16:38:02</t>
  </si>
  <si>
    <t>item_000339_20260903_163802.jpg</t>
  </si>
  <si>
    <t>2026-09-03 16:37:41</t>
  </si>
  <si>
    <t>item_000338_20260903_163741.jpg</t>
  </si>
  <si>
    <t>2026-09-03 16:37:17</t>
  </si>
  <si>
    <t>item_000337_20260903_163717.jpg</t>
  </si>
  <si>
    <t>2026-09-03 16:36:49</t>
  </si>
  <si>
    <t>item_000336_20260903_163649.jpg</t>
  </si>
  <si>
    <t>2026-09-03 16:36:29</t>
  </si>
  <si>
    <t>item_000335_20260903_163629.jpg</t>
  </si>
  <si>
    <t>2026-09-03 16:36:09</t>
  </si>
  <si>
    <t>item_000334_20260903_163609.jpg</t>
  </si>
  <si>
    <t>2026-09-03 16:35:44</t>
  </si>
  <si>
    <t>item_000333_20260903_163544.jpg</t>
  </si>
  <si>
    <t>2026-09-03 16:35:17</t>
  </si>
  <si>
    <t>item_000332_20260903_163517.jpg</t>
  </si>
  <si>
    <t>2026-09-03 16:34:57</t>
  </si>
  <si>
    <t>item_000331_20260903_163457.jpg</t>
  </si>
  <si>
    <t>2026-09-03 16:34:37</t>
  </si>
  <si>
    <t>item_000330_20260903_163437.jpg</t>
  </si>
  <si>
    <t>2026-09-03 16:34:12</t>
  </si>
  <si>
    <t>item_000329_20260903_163412.jpg</t>
  </si>
  <si>
    <t>2026-09-03 16:33:45</t>
  </si>
  <si>
    <t>item_000328_20260903_163345.jpg</t>
  </si>
  <si>
    <t>2026-09-03 16:33:25</t>
  </si>
  <si>
    <t>item_000327_20260903_163325.jpg</t>
  </si>
  <si>
    <t>2026-09-03 16:33:05</t>
  </si>
  <si>
    <t>item_000326_20260903_163305.jpg</t>
  </si>
  <si>
    <t>2026-09-03 16:32:39</t>
  </si>
  <si>
    <t>item_000325_20260903_163239.jpg</t>
  </si>
  <si>
    <t>2026-09-03 16:32:13</t>
  </si>
  <si>
    <t>item_000324_20260903_163213.jpg</t>
  </si>
  <si>
    <t>2026-09-03 16:31:53</t>
  </si>
  <si>
    <t>item_000323_20260903_163153.jpg</t>
  </si>
  <si>
    <t>2026-09-03 16:31:33</t>
  </si>
  <si>
    <t>item_000322_20260903_163133.jpg</t>
  </si>
  <si>
    <t>2026-09-03 16:31:07</t>
  </si>
  <si>
    <t>item_000321_20260903_163107.jpg</t>
  </si>
  <si>
    <t>2026-09-03 16:30:41</t>
  </si>
  <si>
    <t>item_000320_20260903_163041.jpg</t>
  </si>
  <si>
    <t>2026-09-03 16:30:20</t>
  </si>
  <si>
    <t>item_000319_20260903_163020.jpg</t>
  </si>
  <si>
    <t>2026-09-03 16:30:01</t>
  </si>
  <si>
    <t>item_000318_20260903_163001.jpg</t>
  </si>
  <si>
    <t>2026-09-03 16:29:35</t>
  </si>
  <si>
    <t>item_000317_20260903_162935.jpg</t>
  </si>
  <si>
    <t>2026-09-03 16:29:09</t>
  </si>
  <si>
    <t>item_000316_20260903_162909.jpg</t>
  </si>
  <si>
    <t>2026-09-03 16:28:48</t>
  </si>
  <si>
    <t>item_000315_20260903_162848.jpg</t>
  </si>
  <si>
    <t>2026-09-03 16:28:29</t>
  </si>
  <si>
    <t>item_000314_20260903_162829.jpg</t>
  </si>
  <si>
    <t>2026-09-03 16:28:02</t>
  </si>
  <si>
    <t>item_000313_20260903_162802.jpg</t>
  </si>
  <si>
    <t>2026-09-03 16:27:37</t>
  </si>
  <si>
    <t>item_000312_20260903_162737.jpg</t>
  </si>
  <si>
    <t>2026-09-03 16:27:16</t>
  </si>
  <si>
    <t>item_000311_20260903_162716.jpg</t>
  </si>
  <si>
    <t>2026-09-03 16:26:56</t>
  </si>
  <si>
    <t>item_000310_20260903_162656.jpg</t>
  </si>
  <si>
    <t>2026-09-03 16:26:30</t>
  </si>
  <si>
    <t>item_000309_20260903_162630.jpg</t>
  </si>
  <si>
    <t>2026-09-03 16:26:05</t>
  </si>
  <si>
    <t>item_000308_20260903_162605.jpg</t>
  </si>
  <si>
    <t>2026-09-03 16:25:44</t>
  </si>
  <si>
    <t>item_000307_20260903_162544.jpg</t>
  </si>
  <si>
    <t>2026-09-03 16:25:24</t>
  </si>
  <si>
    <t>item_000306_20260903_162524.jpg</t>
  </si>
  <si>
    <t>2026-09-03 16:24:57</t>
  </si>
  <si>
    <t>item_000305_20260903_162457.jpg</t>
  </si>
  <si>
    <t>2026-09-03 16:24:33</t>
  </si>
  <si>
    <t>item_000304_20260903_162433.jpg</t>
  </si>
  <si>
    <t>2026-09-03 16:24:11</t>
  </si>
  <si>
    <t>item_000303_20260903_162411.jpg</t>
  </si>
  <si>
    <t>2026-09-03 16:23:52</t>
  </si>
  <si>
    <t>item_000302_20260903_162352.jpg</t>
  </si>
  <si>
    <t>2026-09-03 16:23:25</t>
  </si>
  <si>
    <t>item_000301_20260903_162325.jpg</t>
  </si>
  <si>
    <t>2026-09-03 16:16:34</t>
  </si>
  <si>
    <t>item_000300_20260903_161634.jpg</t>
  </si>
  <si>
    <t>2026-09-03 16:16:07</t>
  </si>
  <si>
    <t>item_000299_20260903_161607.jpg</t>
  </si>
  <si>
    <t>2026-09-03 16:15:32</t>
  </si>
  <si>
    <t>item_000298_20260903_161532.jpg</t>
  </si>
  <si>
    <t>2026-09-03 16:15:11</t>
  </si>
  <si>
    <t>item_000297_20260903_161511.jpg</t>
  </si>
  <si>
    <t>2026-09-03 16:14:38</t>
  </si>
  <si>
    <t>item_000296_20260903_161438.jpg</t>
  </si>
  <si>
    <t>2026-09-03 16:14:11</t>
  </si>
  <si>
    <t>item_000295_20260903_161411.jpg</t>
  </si>
  <si>
    <t>2026-09-03 16:13:36</t>
  </si>
  <si>
    <t>item_000294_20260903_161336.jpg</t>
  </si>
  <si>
    <t>2026-09-03 16:13:13</t>
  </si>
  <si>
    <t>item_000293_20260903_161313.jpg</t>
  </si>
  <si>
    <t>2026-09-03 16:12:43</t>
  </si>
  <si>
    <t>item_000292_20260903_161243.jpg</t>
  </si>
  <si>
    <t>2026-09-03 16:12:15</t>
  </si>
  <si>
    <t>item_000291_20260903_161215.jpg</t>
  </si>
  <si>
    <t>2026-09-03 16:11:40</t>
  </si>
  <si>
    <t>item_000290_20260903_161140.jpg</t>
  </si>
  <si>
    <t>2026-09-03 16:11:17</t>
  </si>
  <si>
    <t>item_000289_20260903_161117.jpg</t>
  </si>
  <si>
    <t>2026-09-03 16:10:47</t>
  </si>
  <si>
    <t>item_000288_20260903_161047.jpg</t>
  </si>
  <si>
    <t>2026-09-03 16:10:18</t>
  </si>
  <si>
    <t>item_000287_20260903_161018.jpg</t>
  </si>
  <si>
    <t>2026-09-03 16:09:46</t>
  </si>
  <si>
    <t>item_000286_20260903_160946.jpg</t>
  </si>
  <si>
    <t>2026-09-03 16:09:18</t>
  </si>
  <si>
    <t>item_000285_20260903_160918.jpg</t>
  </si>
  <si>
    <t>2026-09-03 16:08:51</t>
  </si>
  <si>
    <t>item_000284_20260903_160851.jpg</t>
  </si>
  <si>
    <t>2026-09-03 16:08:21</t>
  </si>
  <si>
    <t>item_000283_20260903_160821.jpg</t>
  </si>
  <si>
    <t>2026-09-03 16:07:49</t>
  </si>
  <si>
    <t>item_000282_20260903_160749.jpg</t>
  </si>
  <si>
    <t>2026-09-03 16:07:22</t>
  </si>
  <si>
    <t>item_000281_20260903_160722.jpg</t>
  </si>
  <si>
    <t>2026-09-03 16:06:56</t>
  </si>
  <si>
    <t>item_000280_20260903_160656.jpg</t>
  </si>
  <si>
    <t>2026-09-03 16:06:25</t>
  </si>
  <si>
    <t>item_000279_20260903_160625.jpg</t>
  </si>
  <si>
    <t>2026-09-03 16:05:53</t>
  </si>
  <si>
    <t>item_000278_20260903_160553.jpg</t>
  </si>
  <si>
    <t>2026-09-03 16:05:26</t>
  </si>
  <si>
    <t>item_000277_20260903_160526.jpg</t>
  </si>
  <si>
    <t>2026-09-03 16:05:00</t>
  </si>
  <si>
    <t>item_000276_20260903_160500.jpg</t>
  </si>
  <si>
    <t>2026-09-03 16:04:29</t>
  </si>
  <si>
    <t>item_000275_20260903_160429.jpg</t>
  </si>
  <si>
    <t>2026-09-03 16:03:57</t>
  </si>
  <si>
    <t>item_000274_20260903_160357.jpg</t>
  </si>
  <si>
    <t>2026-09-03 16:03:39</t>
  </si>
  <si>
    <t>item_000273_20260903_160339.jpg</t>
  </si>
  <si>
    <t>2026-09-03 16:03:04</t>
  </si>
  <si>
    <t>item_000272_20260903_160304.jpg</t>
  </si>
  <si>
    <t>2026-09-03 16:02:33</t>
  </si>
  <si>
    <t>item_000271_20260903_160233.jpg</t>
  </si>
  <si>
    <t>2026-09-03 16:02:01</t>
  </si>
  <si>
    <t>item_000270_20260903_160201.jpg</t>
  </si>
  <si>
    <t>2026-09-03 16:01:43</t>
  </si>
  <si>
    <t>item_000269_20260903_160143.jpg</t>
  </si>
  <si>
    <t>2026-09-03 16:01:08</t>
  </si>
  <si>
    <t>item_000268_20260903_160108.jpg</t>
  </si>
  <si>
    <t>2026-09-03 16:00:36</t>
  </si>
  <si>
    <t>item_000267_20260903_160036.jpg</t>
  </si>
  <si>
    <t>2026-09-03 16:00:05</t>
  </si>
  <si>
    <t>item_000266_20260903_160005.jpg</t>
  </si>
  <si>
    <t>2026-09-03 15:59:40</t>
  </si>
  <si>
    <t>item_000265_20260903_155940.jpg</t>
  </si>
  <si>
    <t>2026-09-03 15:59:12</t>
  </si>
  <si>
    <t>item_000264_20260903_155912.jpg</t>
  </si>
  <si>
    <t>2026-09-03 15:58:40</t>
  </si>
  <si>
    <t>item_000263_20260903_155840.jpg</t>
  </si>
  <si>
    <t>2026-09-03 15:58:09</t>
  </si>
  <si>
    <t>item_000262_20260903_155809.jpg</t>
  </si>
  <si>
    <t>2026-09-03 15:57:43</t>
  </si>
  <si>
    <t>item_000261_20260903_155743.jpg</t>
  </si>
  <si>
    <t>2026-09-03 15:57:16</t>
  </si>
  <si>
    <t>item_000260_20260903_155716.jpg</t>
  </si>
  <si>
    <t>2026-09-03 15:56:44</t>
  </si>
  <si>
    <t>item_000259_20260903_155644.jpg</t>
  </si>
  <si>
    <t>2026-09-03 15:56:12</t>
  </si>
  <si>
    <t>item_000258_20260903_155612.jpg</t>
  </si>
  <si>
    <t>2026-09-03 15:55:46</t>
  </si>
  <si>
    <t>item_000257_20260903_155546.jpg</t>
  </si>
  <si>
    <t>2026-09-03 15:55:20</t>
  </si>
  <si>
    <t>item_000256_20260903_155520.jpg</t>
  </si>
  <si>
    <t>2026-09-03 15:54:48</t>
  </si>
  <si>
    <t>item_000255_20260903_155448.jpg</t>
  </si>
  <si>
    <t>2026-09-03 15:54:16</t>
  </si>
  <si>
    <t>item_000254_20260903_155416.jpg</t>
  </si>
  <si>
    <t>2026-09-03 15:53:49</t>
  </si>
  <si>
    <t>item_000253_20260903_155349.jpg</t>
  </si>
  <si>
    <t>2026-09-03 15:53:23</t>
  </si>
  <si>
    <t>item_000252_20260903_155323.jpg</t>
  </si>
  <si>
    <t>2026-09-03 15:52:51</t>
  </si>
  <si>
    <t>item_000251_20260903_155251.jpg</t>
  </si>
  <si>
    <t>2026-09-03 15:08:48</t>
  </si>
  <si>
    <t>item_000250_20260903_150848.jpg</t>
  </si>
  <si>
    <t>2026-09-03 15:08:33</t>
  </si>
  <si>
    <t>item_000249_20260903_150833.jpg</t>
  </si>
  <si>
    <t>2026-09-03 15:08:16</t>
  </si>
  <si>
    <t>item_000248_20260903_150816.jpg</t>
  </si>
  <si>
    <t>2026-09-03 15:08:05</t>
  </si>
  <si>
    <t>item_000247_20260903_150805.jpg</t>
  </si>
  <si>
    <t>2026-09-03 15:07:51</t>
  </si>
  <si>
    <t>item_000246_20260903_150751.jpg</t>
  </si>
  <si>
    <t>2026-09-03 15:07:36</t>
  </si>
  <si>
    <t>item_000245_20260903_150736.jpg</t>
  </si>
  <si>
    <t>2026-09-03 15:07:19</t>
  </si>
  <si>
    <t>item_000244_20260903_150719.jpg</t>
  </si>
  <si>
    <t>2026-09-03 15:07:08</t>
  </si>
  <si>
    <t>item_000243_20260903_150708.jpg</t>
  </si>
  <si>
    <t>2026-09-03 15:06:54</t>
  </si>
  <si>
    <t>item_000242_20260903_150654.jpg</t>
  </si>
  <si>
    <t>2026-09-03 15:06:38</t>
  </si>
  <si>
    <t>item_000241_20260903_150638.jpg</t>
  </si>
  <si>
    <t>2026-09-03 15:06:22</t>
  </si>
  <si>
    <t>item_000240_20260903_150622.jpg</t>
  </si>
  <si>
    <t>2026-09-03 15:06:10</t>
  </si>
  <si>
    <t>item_000239_20260903_150610.jpg</t>
  </si>
  <si>
    <t>2026-09-03 15:05:57</t>
  </si>
  <si>
    <t>item_000238_20260903_150557.jpg</t>
  </si>
  <si>
    <t>2026-09-03 15:05:41</t>
  </si>
  <si>
    <t>item_000237_20260903_150541.jpg</t>
  </si>
  <si>
    <t>2026-09-03 15:05:25</t>
  </si>
  <si>
    <t>item_000236_20260903_150525.jpg</t>
  </si>
  <si>
    <t>2026-09-03 15:05:13</t>
  </si>
  <si>
    <t>item_000235_20260903_150513.jpg</t>
  </si>
  <si>
    <t>2026-09-03 15:04:59</t>
  </si>
  <si>
    <t>item_000234_20260903_150459.jpg</t>
  </si>
  <si>
    <t>2026-09-03 15:04:44</t>
  </si>
  <si>
    <t>item_000233_20260903_150444.jpg</t>
  </si>
  <si>
    <t>2026-09-03 15:04:28</t>
  </si>
  <si>
    <t>item_000232_20260903_150428.jpg</t>
  </si>
  <si>
    <t>2026-09-03 15:04:15</t>
  </si>
  <si>
    <t>item_000231_20260903_150415.jpg</t>
  </si>
  <si>
    <t>2026-09-03 15:04:02</t>
  </si>
  <si>
    <t>item_000230_20260903_150402.jpg</t>
  </si>
  <si>
    <t>2026-09-03 15:03:46</t>
  </si>
  <si>
    <t>item_000229_20260903_150346.jpg</t>
  </si>
  <si>
    <t>2026-09-03 15:03:30</t>
  </si>
  <si>
    <t>item_000228_20260903_150330.jpg</t>
  </si>
  <si>
    <t>2026-09-03 15:03:18</t>
  </si>
  <si>
    <t>item_000227_20260903_150318.jpg</t>
  </si>
  <si>
    <t>2026-09-03 15:03:05</t>
  </si>
  <si>
    <t>item_000226_20260903_150305.jpg</t>
  </si>
  <si>
    <t>2026-09-03 15:02:49</t>
  </si>
  <si>
    <t>item_000225_20260903_150249.jpg</t>
  </si>
  <si>
    <t>2026-09-03 15:02:33</t>
  </si>
  <si>
    <t>item_000224_20260903_150233.jpg</t>
  </si>
  <si>
    <t>2026-09-03 15:02:20</t>
  </si>
  <si>
    <t>item_000223_20260903_150220.jpg</t>
  </si>
  <si>
    <t>2026-09-03 15:02:07</t>
  </si>
  <si>
    <t>item_000222_20260903_150207.jpg</t>
  </si>
  <si>
    <t>2026-09-03 15:01:51</t>
  </si>
  <si>
    <t>item_000221_20260903_150151.jpg</t>
  </si>
  <si>
    <t>2026-09-03 15:01:35</t>
  </si>
  <si>
    <t>item_000220_20260903_150135.jpg</t>
  </si>
  <si>
    <t>2026-09-03 15:01:23</t>
  </si>
  <si>
    <t>item_000219_20260903_150123.jpg</t>
  </si>
  <si>
    <t>2026-09-03 15:01:10</t>
  </si>
  <si>
    <t>item_000218_20260903_150110.jpg</t>
  </si>
  <si>
    <t>2026-09-03 15:00:54</t>
  </si>
  <si>
    <t>item_000217_20260903_150054.jpg</t>
  </si>
  <si>
    <t>2026-09-03 15:00:38</t>
  </si>
  <si>
    <t>item_000216_20260903_150038.jpg</t>
  </si>
  <si>
    <t>2026-09-03 15:00:25</t>
  </si>
  <si>
    <t>item_000215_20260903_150025.jpg</t>
  </si>
  <si>
    <t>2026-09-03 15:00:13</t>
  </si>
  <si>
    <t>item_000214_20260903_150013.jpg</t>
  </si>
  <si>
    <t>2026-09-03 14:59:56</t>
  </si>
  <si>
    <t>item_000213_20260903_145956.jpg</t>
  </si>
  <si>
    <t>2026-09-03 14:59:41</t>
  </si>
  <si>
    <t>item_000212_20260903_145941.jpg</t>
  </si>
  <si>
    <t>2026-09-03 14:59:28</t>
  </si>
  <si>
    <t>item_000211_20260903_145928.jpg</t>
  </si>
  <si>
    <t>2026-09-03 14:59:15</t>
  </si>
  <si>
    <t>item_000210_20260903_145915.jpg</t>
  </si>
  <si>
    <t>2026-09-03 14:58:59</t>
  </si>
  <si>
    <t>item_000209_20260903_145859.jpg</t>
  </si>
  <si>
    <t>2026-09-03 14:58:43</t>
  </si>
  <si>
    <t>item_000208_20260903_145843.jpg</t>
  </si>
  <si>
    <t>2026-09-03 14:58:30</t>
  </si>
  <si>
    <t>item_000207_20260903_145830.jpg</t>
  </si>
  <si>
    <t>2026-09-03 14:58:18</t>
  </si>
  <si>
    <t>item_000206_20260903_145818.jpg</t>
  </si>
  <si>
    <t>2026-09-03 14:58:02</t>
  </si>
  <si>
    <t>item_000205_20260903_145802.jpg</t>
  </si>
  <si>
    <t>2026-09-03 14:57:46</t>
  </si>
  <si>
    <t>item_000204_20260903_145746.jpg</t>
  </si>
  <si>
    <t>2026-09-03 14:57:33</t>
  </si>
  <si>
    <t>item_000203_20260903_145733.jpg</t>
  </si>
  <si>
    <t>2026-09-03 14:57:21</t>
  </si>
  <si>
    <t>item_000202_20260903_145721.jpg</t>
  </si>
  <si>
    <t>2026-09-03 14:57:04</t>
  </si>
  <si>
    <t>item_000201_20260903_145704.jpg</t>
  </si>
  <si>
    <t>2026-09-02 23:50:58</t>
  </si>
  <si>
    <t>item_000200_20260902_235058.jpg</t>
  </si>
  <si>
    <t>2026-09-02 23:50:45</t>
  </si>
  <si>
    <t>item_000199_20260902_235045.jpg</t>
  </si>
  <si>
    <t>2026-09-02 23:50:29</t>
  </si>
  <si>
    <t>item_000198_20260902_235029.jpg</t>
  </si>
  <si>
    <t>2026-09-02 23:50:12</t>
  </si>
  <si>
    <t>item_000197_20260902_235012.jpg</t>
  </si>
  <si>
    <t>2026-09-02 23:49:52</t>
  </si>
  <si>
    <t>item_000196_20260902_234952.jpg</t>
  </si>
  <si>
    <t>2026-09-02 23:49:40</t>
  </si>
  <si>
    <t>item_000195_20260902_234940.jpg</t>
  </si>
  <si>
    <t>2026-09-02 23:49:24</t>
  </si>
  <si>
    <t>item_000194_20260902_234924.jpg</t>
  </si>
  <si>
    <t>2026-09-02 23:49:07</t>
  </si>
  <si>
    <t>item_000193_20260902_234907.jpg</t>
  </si>
  <si>
    <t>2026-09-02 23:48:46</t>
  </si>
  <si>
    <t>item_000192_20260902_234846.jpg</t>
  </si>
  <si>
    <t>2026-09-02 23:48:34</t>
  </si>
  <si>
    <t>item_000191_20260902_234834.jpg</t>
  </si>
  <si>
    <t>2026-09-02 23:48:18</t>
  </si>
  <si>
    <t>item_000190_20260902_234818.jpg</t>
  </si>
  <si>
    <t>2026-09-02 23:48:01</t>
  </si>
  <si>
    <t>item_000189_20260902_234801.jpg</t>
  </si>
  <si>
    <t>2026-09-02 23:47:41</t>
  </si>
  <si>
    <t>item_000188_20260902_234741.jpg</t>
  </si>
  <si>
    <t>2026-09-02 23:47:28</t>
  </si>
  <si>
    <t>item_000187_20260902_234728.jpg</t>
  </si>
  <si>
    <t>2026-09-02 23:47:13</t>
  </si>
  <si>
    <t>item_000186_20260902_234713.jpg</t>
  </si>
  <si>
    <t>2026-09-02 23:46:55</t>
  </si>
  <si>
    <t>item_000185_20260902_234655.jpg</t>
  </si>
  <si>
    <t>2026-09-02 23:46:35</t>
  </si>
  <si>
    <t>item_000184_20260902_234635.jpg</t>
  </si>
  <si>
    <t>2026-09-02 23:46:23</t>
  </si>
  <si>
    <t>item_000183_20260902_234623.jpg</t>
  </si>
  <si>
    <t>2026-09-02 23:46:07</t>
  </si>
  <si>
    <t>item_000182_20260902_234607.jpg</t>
  </si>
  <si>
    <t>2026-09-02 23:45:50</t>
  </si>
  <si>
    <t>item_000181_20260902_234550.jpg</t>
  </si>
  <si>
    <t>2026-09-02 23:45:30</t>
  </si>
  <si>
    <t>item_000180_20260902_234530.jpg</t>
  </si>
  <si>
    <t>2026-09-02 23:45:17</t>
  </si>
  <si>
    <t>item_000179_20260902_234517.jpg</t>
  </si>
  <si>
    <t>2026-09-02 23:45:01</t>
  </si>
  <si>
    <t>item_000178_20260902_234501.jpg</t>
  </si>
  <si>
    <t>2026-09-02 23:44:44</t>
  </si>
  <si>
    <t>item_000177_20260902_234444.jpg</t>
  </si>
  <si>
    <t>2026-09-02 23:44:24</t>
  </si>
  <si>
    <t>item_000176_20260902_234424.jpg</t>
  </si>
  <si>
    <t>2026-09-02 23:44:11</t>
  </si>
  <si>
    <t>item_000175_20260902_234411.jpg</t>
  </si>
  <si>
    <t>2026-09-02 23:43:56</t>
  </si>
  <si>
    <t>item_000174_20260902_234356.jpg</t>
  </si>
  <si>
    <t>2026-09-02 23:43:38</t>
  </si>
  <si>
    <t>item_000173_20260902_234338.jpg</t>
  </si>
  <si>
    <t>2026-09-02 23:43:19</t>
  </si>
  <si>
    <t>item_000172_20260902_234319.jpg</t>
  </si>
  <si>
    <t>2026-09-02 23:43:06</t>
  </si>
  <si>
    <t>item_000171_20260902_234306.jpg</t>
  </si>
  <si>
    <t>2026-09-02 23:42:50</t>
  </si>
  <si>
    <t>item_000170_20260902_234250.jpg</t>
  </si>
  <si>
    <t>2026-09-02 23:42:33</t>
  </si>
  <si>
    <t>item_000169_20260902_234233.jpg</t>
  </si>
  <si>
    <t>2026-09-02 23:42:13</t>
  </si>
  <si>
    <t>item_000168_20260902_234213.jpg</t>
  </si>
  <si>
    <t>2026-09-02 23:42:00</t>
  </si>
  <si>
    <t>item_000167_20260902_234200.jpg</t>
  </si>
  <si>
    <t>2026-09-02 23:41:45</t>
  </si>
  <si>
    <t>item_000166_20260902_234145.jpg</t>
  </si>
  <si>
    <t>2026-09-02 23:41:27</t>
  </si>
  <si>
    <t>item_000165_20260902_234127.jpg</t>
  </si>
  <si>
    <t>2026-09-02 23:41:08</t>
  </si>
  <si>
    <t>item_000164_20260902_234108.jpg</t>
  </si>
  <si>
    <t>2026-09-02 23:40:54</t>
  </si>
  <si>
    <t>item_000163_20260902_234054.jpg</t>
  </si>
  <si>
    <t>2026-09-02 23:40:39</t>
  </si>
  <si>
    <t>item_000162_20260902_234039.jpg</t>
  </si>
  <si>
    <t>2026-09-02 23:40:21</t>
  </si>
  <si>
    <t>item_000161_20260902_234021.jpg</t>
  </si>
  <si>
    <t>2026-09-02 23:40:02</t>
  </si>
  <si>
    <t>item_000160_20260902_234002.jpg</t>
  </si>
  <si>
    <t>2026-09-02 23:39:49</t>
  </si>
  <si>
    <t>item_000159_20260902_233949.jpg</t>
  </si>
  <si>
    <t>2026-09-02 23:39:33</t>
  </si>
  <si>
    <t>item_000158_20260902_233933.jpg</t>
  </si>
  <si>
    <t>2026-09-02 23:39:16</t>
  </si>
  <si>
    <t>item_000157_20260902_233916.jpg</t>
  </si>
  <si>
    <t>2026-09-02 23:38:56</t>
  </si>
  <si>
    <t>item_000156_20260902_233856.jpg</t>
  </si>
  <si>
    <t>2026-09-02 23:38:43</t>
  </si>
  <si>
    <t>item_000155_20260902_233843.jpg</t>
  </si>
  <si>
    <t>2026-09-02 23:38:28</t>
  </si>
  <si>
    <t>item_000154_20260902_233828.jpg</t>
  </si>
  <si>
    <t>2026-09-02 23:38:10</t>
  </si>
  <si>
    <t>item_000153_20260902_233810.jpg</t>
  </si>
  <si>
    <t>2026-09-02 23:37:51</t>
  </si>
  <si>
    <t>item_000152_20260902_233751.jpg</t>
  </si>
  <si>
    <t>2026-09-02 23:37:37</t>
  </si>
  <si>
    <t>item_000151_20260902_233737.jpg</t>
  </si>
  <si>
    <t>2026-09-02 23:21:23</t>
  </si>
  <si>
    <t>item_000150_20260902_232123.jpg</t>
  </si>
  <si>
    <t>2026-09-02 23:21:02</t>
  </si>
  <si>
    <t>item_000149_20260902_232102.jpg</t>
  </si>
  <si>
    <t>2026-09-02 23:20:40</t>
  </si>
  <si>
    <t>item_000148_20260902_232040.jpg</t>
  </si>
  <si>
    <t>2026-09-02 23:20:23</t>
  </si>
  <si>
    <t>item_000147_20260902_232023.jpg</t>
  </si>
  <si>
    <t>2026-09-02 23:20:06</t>
  </si>
  <si>
    <t>item_000146_20260902_232006.jpg</t>
  </si>
  <si>
    <t>2026-09-02 23:19:45</t>
  </si>
  <si>
    <t>item_000145_20260902_231945.jpg</t>
  </si>
  <si>
    <t>2026-09-02 23:19:23</t>
  </si>
  <si>
    <t>item_000144_20260902_231923.jpg</t>
  </si>
  <si>
    <t>2026-09-02 23:19:06</t>
  </si>
  <si>
    <t>item_000143_20260902_231906.jpg</t>
  </si>
  <si>
    <t>2026-09-02 23:18:49</t>
  </si>
  <si>
    <t>item_000142_20260902_231849.jpg</t>
  </si>
  <si>
    <t>2026-09-02 23:18:28</t>
  </si>
  <si>
    <t>item_000141_20260902_231828.jpg</t>
  </si>
  <si>
    <t>2026-09-02 23:18:06</t>
  </si>
  <si>
    <t>item_000140_20260902_231806.jpg</t>
  </si>
  <si>
    <t>2026-09-02 23:17:50</t>
  </si>
  <si>
    <t>item_000139_20260902_231750.jpg</t>
  </si>
  <si>
    <t>2026-09-02 23:17:32</t>
  </si>
  <si>
    <t>item_000138_20260902_231732.jpg</t>
  </si>
  <si>
    <t>2026-09-02 23:17:12</t>
  </si>
  <si>
    <t>item_000137_20260902_231712.jpg</t>
  </si>
  <si>
    <t>2026-09-02 23:16:50</t>
  </si>
  <si>
    <t>item_000136_20260902_231650.jpg</t>
  </si>
  <si>
    <t>2026-09-02 23:16:33</t>
  </si>
  <si>
    <t>item_000135_20260902_231633.jpg</t>
  </si>
  <si>
    <t>2026-09-02 23:16:16</t>
  </si>
  <si>
    <t>item_000134_20260902_231616.jpg</t>
  </si>
  <si>
    <t>2026-09-02 23:15:55</t>
  </si>
  <si>
    <t>item_000133_20260902_231555.jpg</t>
  </si>
  <si>
    <t>2026-09-02 23:15:33</t>
  </si>
  <si>
    <t>item_000132_20260902_231533.jpg</t>
  </si>
  <si>
    <t>2026-09-02 23:15:16</t>
  </si>
  <si>
    <t>item_000131_20260902_231516.jpg</t>
  </si>
  <si>
    <t>2026-09-02 23:14:59</t>
  </si>
  <si>
    <t>item_000130_20260902_231459.jpg</t>
  </si>
  <si>
    <t>2026-09-02 23:14:38</t>
  </si>
  <si>
    <t>item_000129_20260902_231438.jpg</t>
  </si>
  <si>
    <t>2026-09-02 23:14:16</t>
  </si>
  <si>
    <t>item_000128_20260902_231416.jpg</t>
  </si>
  <si>
    <t>2026-09-02 23:13:59</t>
  </si>
  <si>
    <t>item_000127_20260902_231359.jpg</t>
  </si>
  <si>
    <t>2026-09-02 23:13:42</t>
  </si>
  <si>
    <t>item_000126_20260902_231342.jpg</t>
  </si>
  <si>
    <t>2026-09-02 23:13:21</t>
  </si>
  <si>
    <t>item_000125_20260902_231321.jpg</t>
  </si>
  <si>
    <t>2026-09-02 23:13:00</t>
  </si>
  <si>
    <t>item_000124_20260902_231300.jpg</t>
  </si>
  <si>
    <t>2026-09-02 23:12:43</t>
  </si>
  <si>
    <t>item_000123_20260902_231243.jpg</t>
  </si>
  <si>
    <t>2026-09-02 23:12:25</t>
  </si>
  <si>
    <t>item_000122_20260902_231225.jpg</t>
  </si>
  <si>
    <t>2026-09-02 23:12:04</t>
  </si>
  <si>
    <t>item_000121_20260902_231204.jpg</t>
  </si>
  <si>
    <t>2026-09-02 23:11:43</t>
  </si>
  <si>
    <t>item_000120_20260902_231143.jpg</t>
  </si>
  <si>
    <t>2026-09-02 23:11:26</t>
  </si>
  <si>
    <t>item_000119_20260902_231126.jpg</t>
  </si>
  <si>
    <t>2026-09-02 23:11:09</t>
  </si>
  <si>
    <t>item_000118_20260902_231109.jpg</t>
  </si>
  <si>
    <t>2026-09-02 23:10:47</t>
  </si>
  <si>
    <t>item_000117_20260902_231047.jpg</t>
  </si>
  <si>
    <t>2026-09-02 23:10:26</t>
  </si>
  <si>
    <t>item_000116_20260902_231026.jpg</t>
  </si>
  <si>
    <t>2026-09-02 23:10:09</t>
  </si>
  <si>
    <t>item_000115_20260902_231009.jpg</t>
  </si>
  <si>
    <t>2026-09-02 23:09:52</t>
  </si>
  <si>
    <t>item_000114_20260902_230952.jpg</t>
  </si>
  <si>
    <t>2026-09-02 23:09:30</t>
  </si>
  <si>
    <t>item_000113_20260902_230930.jpg</t>
  </si>
  <si>
    <t>2026-09-02 23:09:09</t>
  </si>
  <si>
    <t>item_000112_20260902_230909.jpg</t>
  </si>
  <si>
    <t>2026-09-02 23:08:52</t>
  </si>
  <si>
    <t>item_000111_20260902_230852.jpg</t>
  </si>
  <si>
    <t>2026-09-02 23:08:35</t>
  </si>
  <si>
    <t>item_000110_20260902_230835.jpg</t>
  </si>
  <si>
    <t>2026-09-02 23:08:13</t>
  </si>
  <si>
    <t>item_000109_20260902_230813.jpg</t>
  </si>
  <si>
    <t>2026-09-02 23:07:52</t>
  </si>
  <si>
    <t>item_000108_20260902_230752.jpg</t>
  </si>
  <si>
    <t>2026-09-02 23:07:35</t>
  </si>
  <si>
    <t>item_000107_20260902_230735.jpg</t>
  </si>
  <si>
    <t>2026-09-02 23:07:18</t>
  </si>
  <si>
    <t>item_000106_20260902_230718.jpg</t>
  </si>
  <si>
    <t>2026-09-02 23:06:57</t>
  </si>
  <si>
    <t>item_000105_20260902_230657.jpg</t>
  </si>
  <si>
    <t>2026-09-02 23:06:36</t>
  </si>
  <si>
    <t>item_000104_20260902_230636.jpg</t>
  </si>
  <si>
    <t>2026-09-02 23:06:18</t>
  </si>
  <si>
    <t>item_000103_20260902_230618.jpg</t>
  </si>
  <si>
    <t>2026-09-02 23:06:02</t>
  </si>
  <si>
    <t>item_000102_20260902_230602.jpg</t>
  </si>
  <si>
    <t>2026-09-02 23:05:40</t>
  </si>
  <si>
    <t>item_000101_20260902_230540.jpg</t>
  </si>
  <si>
    <t>2026-09-02 22:58:12</t>
  </si>
  <si>
    <t>item_000100_20260902_225812.jpg</t>
  </si>
  <si>
    <t>2026-09-02 22:58:00</t>
  </si>
  <si>
    <t>item_000099_20260902_225800.jpg</t>
  </si>
  <si>
    <t>2026-09-02 22:57:47</t>
  </si>
  <si>
    <t>item_000098_20260902_225747.jpg</t>
  </si>
  <si>
    <t>2026-09-02 22:57:34</t>
  </si>
  <si>
    <t>item_000097_20260902_225734.jpg</t>
  </si>
  <si>
    <t>2026-09-02 22:57:06</t>
  </si>
  <si>
    <t>item_000096_20260902_225706.jpg</t>
  </si>
  <si>
    <t>2026-09-02 22:56:51</t>
  </si>
  <si>
    <t>item_000095_20260902_225651.jpg</t>
  </si>
  <si>
    <t>2026-09-02 22:56:18</t>
  </si>
  <si>
    <t>item_000094_20260902_225618.jpg</t>
  </si>
  <si>
    <t>2026-09-02 22:56:01</t>
  </si>
  <si>
    <t>item_000093_20260902_225601.jpg</t>
  </si>
  <si>
    <t>2026-09-02 22:55:33</t>
  </si>
  <si>
    <t>item_000092_20260902_225533.jpg</t>
  </si>
  <si>
    <t>2026-09-02 22:55:18</t>
  </si>
  <si>
    <t>item_000091_20260902_225518.jpg</t>
  </si>
  <si>
    <t>2026-09-02 22:54:45</t>
  </si>
  <si>
    <t>item_000090_20260902_225445.jpg</t>
  </si>
  <si>
    <t>2026-09-02 22:54:28</t>
  </si>
  <si>
    <t>item_000089_20260902_225428.jpg</t>
  </si>
  <si>
    <t>2026-09-02 22:54:01</t>
  </si>
  <si>
    <t>item_000088_20260902_225401.jpg</t>
  </si>
  <si>
    <t>2026-09-02 22:53:45</t>
  </si>
  <si>
    <t>item_000087_20260902_225345.jpg</t>
  </si>
  <si>
    <t>2026-09-02 22:53:13</t>
  </si>
  <si>
    <t>item_000086_20260902_225313.jpg</t>
  </si>
  <si>
    <t>2026-09-02 22:52:55</t>
  </si>
  <si>
    <t>item_000085_20260902_225255.jpg</t>
  </si>
  <si>
    <t>2026-09-02 22:52:29</t>
  </si>
  <si>
    <t>item_000084_20260902_225229.jpg</t>
  </si>
  <si>
    <t>2026-09-02 22:52:12</t>
  </si>
  <si>
    <t>item_000083_20260902_225212.jpg</t>
  </si>
  <si>
    <t>2026-09-02 22:51:41</t>
  </si>
  <si>
    <t>item_000082_20260902_225141.jpg</t>
  </si>
  <si>
    <t>2026-09-02 22:51:23</t>
  </si>
  <si>
    <t>item_000081_20260902_225123.jpg</t>
  </si>
  <si>
    <t>2026-09-02 22:50:56</t>
  </si>
  <si>
    <t>item_000080_20260902_225056.jpg</t>
  </si>
  <si>
    <t>2026-09-02 22:50:39</t>
  </si>
  <si>
    <t>item_000079_20260902_225039.jpg</t>
  </si>
  <si>
    <t>2026-09-02 22:50:08</t>
  </si>
  <si>
    <t>item_000078_20260902_225008.jpg</t>
  </si>
  <si>
    <t>2026-09-02 22:49:50</t>
  </si>
  <si>
    <t>item_000077_20260902_224950.jpg</t>
  </si>
  <si>
    <t>2026-09-02 22:49:23</t>
  </si>
  <si>
    <t>item_000076_20260902_224923.jpg</t>
  </si>
  <si>
    <t>2026-09-02 22:49:06</t>
  </si>
  <si>
    <t>item_000075_20260902_224906.jpg</t>
  </si>
  <si>
    <t>2026-09-02 22:48:35</t>
  </si>
  <si>
    <t>item_000074_20260902_224835.jpg</t>
  </si>
  <si>
    <t>2026-09-02 22:48:17</t>
  </si>
  <si>
    <t>item_000073_20260902_224817.jpg</t>
  </si>
  <si>
    <t>2026-09-02 22:47:51</t>
  </si>
  <si>
    <t>item_000072_20260902_224751.jpg</t>
  </si>
  <si>
    <t>2026-09-02 22:47:33</t>
  </si>
  <si>
    <t>item_000071_20260902_224733.jpg</t>
  </si>
  <si>
    <t>2026-09-02 22:47:03</t>
  </si>
  <si>
    <t>item_000070_20260902_224703.jpg</t>
  </si>
  <si>
    <t>2026-09-02 22:46:44</t>
  </si>
  <si>
    <t>item_000069_20260902_224644.jpg</t>
  </si>
  <si>
    <t>2026-09-02 22:46:18</t>
  </si>
  <si>
    <t>item_000068_20260902_224618.jpg</t>
  </si>
  <si>
    <t>2026-09-02 22:46:00</t>
  </si>
  <si>
    <t>item_000067_20260902_224600.jpg</t>
  </si>
  <si>
    <t>2026-09-02 22:45:30</t>
  </si>
  <si>
    <t>item_000066_20260902_224530.jpg</t>
  </si>
  <si>
    <t>2026-09-02 22:45:12</t>
  </si>
  <si>
    <t>item_000065_20260902_224512.jpg</t>
  </si>
  <si>
    <t>2026-09-02 22:44:46</t>
  </si>
  <si>
    <t>item_000064_20260902_224446.jpg</t>
  </si>
  <si>
    <t>2026-09-02 22:44:27</t>
  </si>
  <si>
    <t>item_000063_20260902_224427.jpg</t>
  </si>
  <si>
    <t>2026-09-02 22:43:57</t>
  </si>
  <si>
    <t>item_000062_20260902_224357.jpg</t>
  </si>
  <si>
    <t>2026-09-02 22:43:39</t>
  </si>
  <si>
    <t>item_000061_20260902_224339.jpg</t>
  </si>
  <si>
    <t>2026-09-02 22:43:13</t>
  </si>
  <si>
    <t>item_000060_20260902_224313.jpg</t>
  </si>
  <si>
    <t>2026-09-02 22:42:54</t>
  </si>
  <si>
    <t>item_000059_20260902_224254.jpg</t>
  </si>
  <si>
    <t>2026-09-02 22:42:25</t>
  </si>
  <si>
    <t>item_000058_20260902_224225.jpg</t>
  </si>
  <si>
    <t>2026-09-02 22:42:06</t>
  </si>
  <si>
    <t>item_000057_20260902_224206.jpg</t>
  </si>
  <si>
    <t>2026-09-02 22:41:40</t>
  </si>
  <si>
    <t>item_000056_20260902_224140.jpg</t>
  </si>
  <si>
    <t>2026-09-02 22:41:21</t>
  </si>
  <si>
    <t>item_000055_20260902_224121.jpg</t>
  </si>
  <si>
    <t>2026-09-02 22:40:52</t>
  </si>
  <si>
    <t>item_000054_20260902_224052.jpg</t>
  </si>
  <si>
    <t>2026-09-02 22:40:33</t>
  </si>
  <si>
    <t>item_000053_20260902_224033.jpg</t>
  </si>
  <si>
    <t>2026-09-02 22:40:07</t>
  </si>
  <si>
    <t>item_000052_20260902_224007.jpg</t>
  </si>
  <si>
    <t>2026-09-02 22:39:48</t>
  </si>
  <si>
    <t>item_000051_20260902_223948.jpg</t>
  </si>
  <si>
    <t>2026-09-02 22:30:01</t>
  </si>
  <si>
    <t>item_000050_20260902_223001.jpg</t>
  </si>
  <si>
    <t>2026-09-02 22:29:37</t>
  </si>
  <si>
    <t>item_000049_20260902_222937.jpg</t>
  </si>
  <si>
    <t>2026-09-02 22:29:05</t>
  </si>
  <si>
    <t>item_000048_20260902_222905.jpg</t>
  </si>
  <si>
    <t>2026-09-02 22:28:40</t>
  </si>
  <si>
    <t>item_000047_20260902_222840.jpg</t>
  </si>
  <si>
    <t>2026-09-02 22:28:05</t>
  </si>
  <si>
    <t>item_000046_20260902_222805.jpg</t>
  </si>
  <si>
    <t>2026-09-02 22:27:40</t>
  </si>
  <si>
    <t>item_000045_20260902_222740.jpg</t>
  </si>
  <si>
    <t>2026-09-02 22:27:08</t>
  </si>
  <si>
    <t>item_000044_20260902_222708.jpg</t>
  </si>
  <si>
    <t>2026-09-02 22:26:43</t>
  </si>
  <si>
    <t>item_000043_20260902_222643.jpg</t>
  </si>
  <si>
    <t>2026-09-02 22:26:09</t>
  </si>
  <si>
    <t>item_000042_20260902_222609.jpg</t>
  </si>
  <si>
    <t>2026-09-02 22:25:44</t>
  </si>
  <si>
    <t>item_000041_20260902_222544.jpg</t>
  </si>
  <si>
    <t>2026-09-02 22:25:12</t>
  </si>
  <si>
    <t>item_000040_20260902_222512.jpg</t>
  </si>
  <si>
    <t>2026-09-02 22:24:46</t>
  </si>
  <si>
    <t>item_000039_20260902_222446.jpg</t>
  </si>
  <si>
    <t>2026-09-02 22:24:12</t>
  </si>
  <si>
    <t>item_000038_20260902_222412.jpg</t>
  </si>
  <si>
    <t>2026-09-02 22:23:48</t>
  </si>
  <si>
    <t>item_000037_20260902_222348.jpg</t>
  </si>
  <si>
    <t>2026-09-02 22:23:16</t>
  </si>
  <si>
    <t>item_000036_20260902_222316.jpg</t>
  </si>
  <si>
    <t>2026-09-02 22:22:49</t>
  </si>
  <si>
    <t>item_000035_20260902_222249.jpg</t>
  </si>
  <si>
    <t>2026-09-02 22:22:15</t>
  </si>
  <si>
    <t>item_000034_20260902_222215.jpg</t>
  </si>
  <si>
    <t>2026-09-02 22:21:51</t>
  </si>
  <si>
    <t>item_000033_20260902_222151.jpg</t>
  </si>
  <si>
    <t>2026-09-02 22:21:19</t>
  </si>
  <si>
    <t>item_000032_20260902_222119.jpg</t>
  </si>
  <si>
    <t>2026-09-02 22:20:51</t>
  </si>
  <si>
    <t>item_000031_20260902_222051.jpg</t>
  </si>
  <si>
    <t>2026-09-02 22:20:19</t>
  </si>
  <si>
    <t>item_000030_20260902_222019.jpg</t>
  </si>
  <si>
    <t>2026-09-02 22:19:54</t>
  </si>
  <si>
    <t>item_000029_20260902_221954.jpg</t>
  </si>
  <si>
    <t>2026-09-02 22:19:23</t>
  </si>
  <si>
    <t>item_000028_20260902_221923.jpg</t>
  </si>
  <si>
    <t>2026-09-02 22:18:54</t>
  </si>
  <si>
    <t>item_000027_20260902_221854.jpg</t>
  </si>
  <si>
    <t>2026-09-02 22:18:22</t>
  </si>
  <si>
    <t>item_000026_20260902_221822.jpg</t>
  </si>
  <si>
    <t>2026-09-02 22:17:58</t>
  </si>
  <si>
    <t>item_000025_20260902_221758.jpg</t>
  </si>
  <si>
    <t>2026-09-02 22:17:26</t>
  </si>
  <si>
    <t>item_000024_20260902_221726.jpg</t>
  </si>
  <si>
    <t>2026-09-02 22:16:56</t>
  </si>
  <si>
    <t>item_000023_20260902_221656.jpg</t>
  </si>
  <si>
    <t>2026-09-02 22:16:26</t>
  </si>
  <si>
    <t>item_000022_20260902_221626.jpg</t>
  </si>
  <si>
    <t>2026-09-02 22:16:00</t>
  </si>
  <si>
    <t>item_000021_20260902_221600.jpg</t>
  </si>
  <si>
    <t>2026-09-02 22:15:30</t>
  </si>
  <si>
    <t>item_000020_20260902_221530.jpg</t>
  </si>
  <si>
    <t>2026-09-02 22:14:59</t>
  </si>
  <si>
    <t>item_000019_20260902_221459.jpg</t>
  </si>
  <si>
    <t>2026-09-02 22:14:29</t>
  </si>
  <si>
    <t>item_000018_20260902_221429.jpg</t>
  </si>
  <si>
    <t>2026-09-02 22:14:04</t>
  </si>
  <si>
    <t>item_000017_20260902_221404.jpg</t>
  </si>
  <si>
    <t>2026-09-02 22:13:33</t>
  </si>
  <si>
    <t>item_000016_20260902_221333.jpg</t>
  </si>
  <si>
    <t>2026-09-02 22:13:01</t>
  </si>
  <si>
    <t>item_000015_20260902_221301.jpg</t>
  </si>
  <si>
    <t>2026-09-02 22:12:32</t>
  </si>
  <si>
    <t>item_000014_20260902_221232.jpg</t>
  </si>
  <si>
    <t>2026-09-02 22:12:06</t>
  </si>
  <si>
    <t>item_000013_20260902_221206.jpg</t>
  </si>
  <si>
    <t>2026-09-02 22:11:35</t>
  </si>
  <si>
    <t>item_000012_20260902_221135.jpg</t>
  </si>
  <si>
    <t>2026-09-02 22:11:04</t>
  </si>
  <si>
    <t>item_000011_20260902_221104.jpg</t>
  </si>
  <si>
    <t>2026-09-02 22:10:36</t>
  </si>
  <si>
    <t>item_000010_20260902_221036.jpg</t>
  </si>
  <si>
    <t>2026-09-02 22:10:09</t>
  </si>
  <si>
    <t>item_000009_20260902_221009.jpg</t>
  </si>
  <si>
    <t>2026-09-02 22:09:38</t>
  </si>
  <si>
    <t>item_000008_20260902_220938.jpg</t>
  </si>
  <si>
    <t>2026-09-02 22:09:06</t>
  </si>
  <si>
    <t>item_000007_20260902_220906.jpg</t>
  </si>
  <si>
    <t>2026-09-02 22:08:39</t>
  </si>
  <si>
    <t>item_000006_20260902_220839.jpg</t>
  </si>
  <si>
    <t>2026-09-02 22:08:12</t>
  </si>
  <si>
    <t>item_000005_20260902_220812.jpg</t>
  </si>
  <si>
    <t>2026-09-02 22:07:41</t>
  </si>
  <si>
    <t>item_000004_20260902_220741.jpg</t>
  </si>
  <si>
    <t>2026-09-02 22:07:09</t>
  </si>
  <si>
    <t>item_000003_20260902_220709.jpg</t>
  </si>
  <si>
    <t>2026-09-02 22:06:42</t>
  </si>
  <si>
    <t>item_000002_20260902_220642.jpg</t>
  </si>
  <si>
    <t>2026-09-02 22:06:15</t>
  </si>
  <si>
    <t>item_000001_20260902_220615.jpg</t>
  </si>
  <si>
    <t>Accuracy</t>
  </si>
  <si>
    <t>Slip(%)</t>
  </si>
  <si>
    <t>2026-09-06 15:47:20</t>
  </si>
  <si>
    <t>item_000770_20260906_154720.jpg</t>
  </si>
  <si>
    <t>2026-09-06 15:47:10</t>
  </si>
  <si>
    <t>item_000769_20260906_154710.jpg</t>
  </si>
  <si>
    <t>2026-09-06 15:47:00</t>
  </si>
  <si>
    <t>item_000768_20260906_154700.jpg</t>
  </si>
  <si>
    <t>2026-09-06 15:46:51</t>
  </si>
  <si>
    <t>item_000767_20260906_154651.jpg</t>
  </si>
  <si>
    <t>2026-09-06 15:46:40</t>
  </si>
  <si>
    <t>item_000766_20260906_154640.jpg</t>
  </si>
  <si>
    <t>2026-09-06 15:46:30</t>
  </si>
  <si>
    <t>item_000765_20260906_154630.jpg</t>
  </si>
  <si>
    <t>2026-09-06 15:46:23</t>
  </si>
  <si>
    <t>item_000764_20260906_154623.jpg</t>
  </si>
  <si>
    <t>2026-09-06 15:46:12</t>
  </si>
  <si>
    <t>item_000763_20260906_154612.jpg</t>
  </si>
  <si>
    <t>2026-09-06 15:46:04</t>
  </si>
  <si>
    <t>item_000762_20260906_154604.jpg</t>
  </si>
  <si>
    <t>2026-09-06 15:45:53</t>
  </si>
  <si>
    <t>item_000761_20260906_154553.jpg</t>
  </si>
  <si>
    <t>2026-09-06 15:45:43</t>
  </si>
  <si>
    <t>item_000760_20260906_154543.jpg</t>
  </si>
  <si>
    <t>2026-09-06 15:45:34</t>
  </si>
  <si>
    <t>item_000759_20260906_154534.jpg</t>
  </si>
  <si>
    <t>2026-09-06 15:45:24</t>
  </si>
  <si>
    <t>item_000758_20260906_154524.jpg</t>
  </si>
  <si>
    <t>2026-09-06 15:45:13</t>
  </si>
  <si>
    <t>item_000757_20260906_154513.jpg</t>
  </si>
  <si>
    <t>2026-09-06 15:45:03</t>
  </si>
  <si>
    <t>item_000756_20260906_154503.jpg</t>
  </si>
  <si>
    <t>2026-09-06 15:44:53</t>
  </si>
  <si>
    <t>item_000755_20260906_154453.jpg</t>
  </si>
  <si>
    <t>2026-09-06 15:44:43</t>
  </si>
  <si>
    <t>item_000754_20260906_154443.jpg</t>
  </si>
  <si>
    <t>2026-09-06 15:44:32</t>
  </si>
  <si>
    <t>item_000753_20260906_154432.jpg</t>
  </si>
  <si>
    <t>2026-09-06 15:44:16</t>
  </si>
  <si>
    <t>item_000752_20260906_154416.jpg</t>
  </si>
  <si>
    <t>2026-09-06 15:44:05</t>
  </si>
  <si>
    <t>item_000751_20260906_154405.jpg</t>
  </si>
  <si>
    <t>เริ่ม</t>
  </si>
  <si>
    <t>เสร็จสิ้น</t>
  </si>
  <si>
    <t>เวลาที่ใข้</t>
  </si>
  <si>
    <t>3 นาที 15 วินาที</t>
  </si>
  <si>
    <t>No.</t>
  </si>
  <si>
    <t>Name</t>
  </si>
  <si>
    <t>Error%</t>
  </si>
  <si>
    <t>Conveyor Speed</t>
  </si>
  <si>
    <t>Object not Found</t>
  </si>
  <si>
    <t>ใช้เวลาทั้งหมด</t>
  </si>
  <si>
    <t>6 นาที 40 วินาที</t>
  </si>
  <si>
    <t>400 วินาที</t>
  </si>
  <si>
    <t>195 วินาที</t>
  </si>
  <si>
    <t>%Slip at 20 Hz</t>
  </si>
  <si>
    <t>20 Hz</t>
  </si>
  <si>
    <t>25 Hz</t>
  </si>
  <si>
    <t>30 Hz</t>
  </si>
  <si>
    <t>35 Hz</t>
  </si>
  <si>
    <t>40 Hz</t>
  </si>
  <si>
    <t>%Slip at 25 Hz</t>
  </si>
  <si>
    <t>%Slip at 30 Hz</t>
  </si>
  <si>
    <t>%Slip at 35 Hz</t>
  </si>
  <si>
    <t>%Slip All</t>
  </si>
  <si>
    <t>Overall</t>
  </si>
  <si>
    <t>ความถูกต้องในการตรวจจับ (750 ครั้ง)</t>
  </si>
  <si>
    <t>Correct</t>
  </si>
  <si>
    <t>Incorrect</t>
  </si>
  <si>
    <t>ความถูกต้องในแต่ละระดับความถี่</t>
  </si>
  <si>
    <t>m/s</t>
  </si>
  <si>
    <t>อายุการใช้งานระบบ (ปี)</t>
  </si>
  <si>
    <t>แรงงานคน</t>
  </si>
  <si>
    <t>ระบบอัตโนมัติ</t>
  </si>
  <si>
    <t>เวลาที่ใช้ทั้งหมด (วินาที)</t>
  </si>
  <si>
    <t>จำนวนครั้งการทดสอบ (ครั้ง)</t>
  </si>
  <si>
    <t>เวลาเฉลี่ยต่อชิ้น (วินาที)</t>
  </si>
  <si>
    <t>ประสิทธิภาพที่เพิ่มขึ้น (%)</t>
  </si>
  <si>
    <t>ต้นทุนค่าแรงต่อชิ้น (บาท)</t>
  </si>
  <si>
    <t>ประเภทระบบ</t>
  </si>
  <si>
    <t>ค่าความถี่ที่ใช้ทดลอง (Hz)</t>
  </si>
  <si>
    <t>กำลังการผลิตต่อวัน (ชิ้น/วัน)</t>
  </si>
  <si>
    <t>วันทำงานต่อปี (วัน)</t>
  </si>
  <si>
    <t>ระยะเวลาทำงานต่อวัน (ชั่วโมง)</t>
  </si>
  <si>
    <t>ต้นทุนค่าเสื่อมสภาพ (บาท/ปี)</t>
  </si>
  <si>
    <t>ต้นทุนค่าเสื่อมสภาพ (บาท/วัน)</t>
  </si>
  <si>
    <t>ต้นทุนระบบอัตโนมัติ (บาท)</t>
  </si>
  <si>
    <t>อัตราค่าไฟฟ้า (บาท/หน่วย)</t>
  </si>
  <si>
    <t>ค่าจ้างแรงงาน (บาท/วัน)</t>
  </si>
  <si>
    <t>*ระบบอัตโนมัติคนคุม 1 คน</t>
  </si>
  <si>
    <t>ต้นทุนค่าพลังงานไฟฟ้าต่อชิ้น</t>
  </si>
  <si>
    <t>*เฉพาะระบบอัตโนมัติ</t>
  </si>
  <si>
    <t>อัตราการใช้พลังงานไฟฟ้า (kwh)</t>
  </si>
  <si>
    <t>ต้นทุนสุทธิต่อชิ้น (บาท/ชิ้น)</t>
  </si>
  <si>
    <t>ต้นทุนค่าเสื่อมสภาพต่อชิ้น (บาท/ชิ้น)</t>
  </si>
  <si>
    <t>ต้นทุนที่ประหยัดได้ (บาท/ชิ้น)</t>
  </si>
  <si>
    <t>ประหยัดต่อปี (บาท/ปี)</t>
  </si>
  <si>
    <t>ระยะเวลาคืนทุน (ปี)</t>
  </si>
  <si>
    <t>*หรือประมาณ 1 ปี 1 เดือน</t>
  </si>
  <si>
    <t>ปีที่</t>
  </si>
  <si>
    <t>กระแสเงินสดสุทธิประจำปี</t>
  </si>
  <si>
    <t>กระแสเงินสะสม</t>
  </si>
  <si>
    <t>No</t>
  </si>
  <si>
    <t>Code</t>
  </si>
  <si>
    <t>%Slip</t>
  </si>
  <si>
    <t>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</si>
</sst>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%"/>
    <numFmt numFmtId="166" formatCode="0.00000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1" applyAlignment="1">
      <alignment horizontal="center"/>
    </xf>
    <xf numFmtId="165" fontId="0" fillId="0" borderId="0" xfId="0" applyNumberFormat="1"/>
    <xf numFmtId="10" fontId="0" fillId="0" borderId="0" xfId="0" applyNumberFormat="1"/>
    <xf numFmtId="2" fontId="0" fillId="0" borderId="0" xfId="0" applyNumberFormat="1"/>
    <xf numFmtId="0" fontId="5" fillId="0" borderId="0" xfId="0" applyFont="1"/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0" xfId="0" applyFont="1"/>
    <xf numFmtId="164" fontId="7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0" fontId="7" fillId="0" borderId="2" xfId="0" applyNumberFormat="1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1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8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 Hz</a:t>
            </a:r>
            <a:r>
              <a:rPr lang="en-US" baseline="0"/>
              <a:t> VS %Slip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8264435695538183E-3"/>
                  <c:y val="-4.78640600959363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78-4BBA-9A7B-C2537382A90A}"/>
                </c:ext>
              </c:extLst>
            </c:dLbl>
            <c:dLbl>
              <c:idx val="4"/>
              <c:layout>
                <c:manualLayout>
                  <c:x val="-2.5423665791776233E-2"/>
                  <c:y val="-5.55268953449784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78-4BBA-9A7B-C2537382A9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Results1!$A$2:$A$6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</c:numCache>
            </c:numRef>
          </c:xVal>
          <c:yVal>
            <c:numRef>
              <c:f>Results1!$B$2:$B$6</c:f>
              <c:numCache>
                <c:formatCode>0.000</c:formatCode>
                <c:ptCount val="5"/>
                <c:pt idx="0">
                  <c:v>2.1437333333333339</c:v>
                </c:pt>
                <c:pt idx="1">
                  <c:v>1.6245999999999983</c:v>
                </c:pt>
                <c:pt idx="2">
                  <c:v>1.2290666666666674</c:v>
                </c:pt>
                <c:pt idx="3">
                  <c:v>0.98646666666666671</c:v>
                </c:pt>
                <c:pt idx="4">
                  <c:v>0.85386666666666688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78-4BBA-9A7B-C2537382A90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12749103"/>
        <c:axId val="16637423"/>
      </c:scatterChart>
      <c:valAx>
        <c:axId val="212749103"/>
        <c:scaling>
          <c:orientation val="minMax"/>
          <c:max val="4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</a:t>
                </a:r>
                <a:r>
                  <a:rPr lang="en-US" baseline="0"/>
                  <a:t> Hz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7423"/>
        <c:crosses val="autoZero"/>
        <c:crossBetween val="midCat"/>
        <c:majorUnit val="5"/>
      </c:valAx>
      <c:valAx>
        <c:axId val="1663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Slip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4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%Slip at 20 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'750 Pieces'!$A$768:$A$917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xVal>
          <c:yVal>
            <c:numRef>
              <c:f>'750 Pieces'!$B$768:$B$917</c:f>
              <c:numCache>
                <c:formatCode>General</c:formatCode>
                <c:ptCount val="150"/>
                <c:pt idx="0">
                  <c:v>2.5</c:v>
                </c:pt>
                <c:pt idx="1">
                  <c:v>2.17</c:v>
                </c:pt>
                <c:pt idx="2">
                  <c:v>2.5</c:v>
                </c:pt>
                <c:pt idx="3">
                  <c:v>2.33</c:v>
                </c:pt>
                <c:pt idx="4">
                  <c:v>2.17</c:v>
                </c:pt>
                <c:pt idx="5">
                  <c:v>2.17</c:v>
                </c:pt>
                <c:pt idx="6">
                  <c:v>2.17</c:v>
                </c:pt>
                <c:pt idx="7">
                  <c:v>2.33</c:v>
                </c:pt>
                <c:pt idx="8">
                  <c:v>2.33</c:v>
                </c:pt>
                <c:pt idx="9">
                  <c:v>2.17</c:v>
                </c:pt>
                <c:pt idx="10">
                  <c:v>1.83</c:v>
                </c:pt>
                <c:pt idx="11">
                  <c:v>2.33</c:v>
                </c:pt>
                <c:pt idx="12">
                  <c:v>2.33</c:v>
                </c:pt>
                <c:pt idx="13">
                  <c:v>2.17</c:v>
                </c:pt>
                <c:pt idx="14">
                  <c:v>2.17</c:v>
                </c:pt>
                <c:pt idx="15">
                  <c:v>2.17</c:v>
                </c:pt>
                <c:pt idx="16">
                  <c:v>2.33</c:v>
                </c:pt>
                <c:pt idx="17">
                  <c:v>1.83</c:v>
                </c:pt>
                <c:pt idx="18">
                  <c:v>2.33</c:v>
                </c:pt>
                <c:pt idx="19">
                  <c:v>2.33</c:v>
                </c:pt>
                <c:pt idx="20">
                  <c:v>2.33</c:v>
                </c:pt>
                <c:pt idx="21">
                  <c:v>2.33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2.17</c:v>
                </c:pt>
                <c:pt idx="26">
                  <c:v>1.83</c:v>
                </c:pt>
                <c:pt idx="27">
                  <c:v>2</c:v>
                </c:pt>
                <c:pt idx="28">
                  <c:v>2.33</c:v>
                </c:pt>
                <c:pt idx="29">
                  <c:v>2.17</c:v>
                </c:pt>
                <c:pt idx="30">
                  <c:v>1.67</c:v>
                </c:pt>
                <c:pt idx="31">
                  <c:v>1.83</c:v>
                </c:pt>
                <c:pt idx="32">
                  <c:v>1.83</c:v>
                </c:pt>
                <c:pt idx="33">
                  <c:v>2</c:v>
                </c:pt>
                <c:pt idx="34">
                  <c:v>1.67</c:v>
                </c:pt>
                <c:pt idx="35">
                  <c:v>2.33</c:v>
                </c:pt>
                <c:pt idx="36">
                  <c:v>1.83</c:v>
                </c:pt>
                <c:pt idx="37">
                  <c:v>2</c:v>
                </c:pt>
                <c:pt idx="38">
                  <c:v>2.33</c:v>
                </c:pt>
                <c:pt idx="39">
                  <c:v>2.33</c:v>
                </c:pt>
                <c:pt idx="40">
                  <c:v>2</c:v>
                </c:pt>
                <c:pt idx="41">
                  <c:v>1.83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1.83</c:v>
                </c:pt>
                <c:pt idx="46">
                  <c:v>2</c:v>
                </c:pt>
                <c:pt idx="47">
                  <c:v>1.83</c:v>
                </c:pt>
                <c:pt idx="48">
                  <c:v>2.17</c:v>
                </c:pt>
                <c:pt idx="49">
                  <c:v>1.83</c:v>
                </c:pt>
                <c:pt idx="50">
                  <c:v>2.67</c:v>
                </c:pt>
                <c:pt idx="51">
                  <c:v>2.17</c:v>
                </c:pt>
                <c:pt idx="52">
                  <c:v>2</c:v>
                </c:pt>
                <c:pt idx="53">
                  <c:v>2.33</c:v>
                </c:pt>
                <c:pt idx="54">
                  <c:v>2.33</c:v>
                </c:pt>
                <c:pt idx="55">
                  <c:v>2.5</c:v>
                </c:pt>
                <c:pt idx="56">
                  <c:v>2.33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2.17</c:v>
                </c:pt>
                <c:pt idx="65">
                  <c:v>2.33</c:v>
                </c:pt>
                <c:pt idx="66">
                  <c:v>2.33</c:v>
                </c:pt>
                <c:pt idx="67">
                  <c:v>2.33</c:v>
                </c:pt>
                <c:pt idx="68">
                  <c:v>2.33</c:v>
                </c:pt>
                <c:pt idx="69">
                  <c:v>2</c:v>
                </c:pt>
                <c:pt idx="70">
                  <c:v>2.33</c:v>
                </c:pt>
                <c:pt idx="71">
                  <c:v>2.33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2.17</c:v>
                </c:pt>
                <c:pt idx="76">
                  <c:v>1.83</c:v>
                </c:pt>
                <c:pt idx="77">
                  <c:v>2</c:v>
                </c:pt>
                <c:pt idx="78">
                  <c:v>2.33</c:v>
                </c:pt>
                <c:pt idx="79">
                  <c:v>2.17</c:v>
                </c:pt>
                <c:pt idx="80">
                  <c:v>1.67</c:v>
                </c:pt>
                <c:pt idx="81">
                  <c:v>1.83</c:v>
                </c:pt>
                <c:pt idx="82">
                  <c:v>1.83</c:v>
                </c:pt>
                <c:pt idx="83">
                  <c:v>2</c:v>
                </c:pt>
                <c:pt idx="84">
                  <c:v>1.67</c:v>
                </c:pt>
                <c:pt idx="85">
                  <c:v>2.33</c:v>
                </c:pt>
                <c:pt idx="86">
                  <c:v>1.83</c:v>
                </c:pt>
                <c:pt idx="87">
                  <c:v>2</c:v>
                </c:pt>
                <c:pt idx="88">
                  <c:v>2.33</c:v>
                </c:pt>
                <c:pt idx="89">
                  <c:v>2.33</c:v>
                </c:pt>
                <c:pt idx="90">
                  <c:v>2</c:v>
                </c:pt>
                <c:pt idx="91">
                  <c:v>1.83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1.83</c:v>
                </c:pt>
                <c:pt idx="96">
                  <c:v>2</c:v>
                </c:pt>
                <c:pt idx="97">
                  <c:v>1.83</c:v>
                </c:pt>
                <c:pt idx="98">
                  <c:v>2.17</c:v>
                </c:pt>
                <c:pt idx="99">
                  <c:v>1.83</c:v>
                </c:pt>
                <c:pt idx="100">
                  <c:v>2.5</c:v>
                </c:pt>
                <c:pt idx="101">
                  <c:v>2.17</c:v>
                </c:pt>
                <c:pt idx="102">
                  <c:v>2.5</c:v>
                </c:pt>
                <c:pt idx="103">
                  <c:v>2.33</c:v>
                </c:pt>
                <c:pt idx="104">
                  <c:v>2.17</c:v>
                </c:pt>
                <c:pt idx="105">
                  <c:v>2.17</c:v>
                </c:pt>
                <c:pt idx="106">
                  <c:v>2.17</c:v>
                </c:pt>
                <c:pt idx="107">
                  <c:v>2.33</c:v>
                </c:pt>
                <c:pt idx="108">
                  <c:v>2.33</c:v>
                </c:pt>
                <c:pt idx="109">
                  <c:v>2.17</c:v>
                </c:pt>
                <c:pt idx="110">
                  <c:v>1.83</c:v>
                </c:pt>
                <c:pt idx="111">
                  <c:v>2.33</c:v>
                </c:pt>
                <c:pt idx="112">
                  <c:v>2.33</c:v>
                </c:pt>
                <c:pt idx="113">
                  <c:v>2.17</c:v>
                </c:pt>
                <c:pt idx="114">
                  <c:v>2.17</c:v>
                </c:pt>
                <c:pt idx="115">
                  <c:v>2.17</c:v>
                </c:pt>
                <c:pt idx="116">
                  <c:v>2.33</c:v>
                </c:pt>
                <c:pt idx="117">
                  <c:v>1.83</c:v>
                </c:pt>
                <c:pt idx="118">
                  <c:v>2.33</c:v>
                </c:pt>
                <c:pt idx="119">
                  <c:v>2.33</c:v>
                </c:pt>
                <c:pt idx="120">
                  <c:v>2.17</c:v>
                </c:pt>
                <c:pt idx="121">
                  <c:v>2</c:v>
                </c:pt>
                <c:pt idx="122">
                  <c:v>2.33</c:v>
                </c:pt>
                <c:pt idx="123">
                  <c:v>2.33</c:v>
                </c:pt>
                <c:pt idx="124">
                  <c:v>2</c:v>
                </c:pt>
                <c:pt idx="125">
                  <c:v>2.5</c:v>
                </c:pt>
                <c:pt idx="126">
                  <c:v>2.17</c:v>
                </c:pt>
                <c:pt idx="127">
                  <c:v>2</c:v>
                </c:pt>
                <c:pt idx="128">
                  <c:v>2.33</c:v>
                </c:pt>
                <c:pt idx="129">
                  <c:v>2.5</c:v>
                </c:pt>
                <c:pt idx="130">
                  <c:v>2</c:v>
                </c:pt>
                <c:pt idx="131">
                  <c:v>2.33</c:v>
                </c:pt>
                <c:pt idx="132">
                  <c:v>2</c:v>
                </c:pt>
                <c:pt idx="133">
                  <c:v>2.5</c:v>
                </c:pt>
                <c:pt idx="134">
                  <c:v>2.5</c:v>
                </c:pt>
                <c:pt idx="135">
                  <c:v>2.33</c:v>
                </c:pt>
                <c:pt idx="136">
                  <c:v>2.17</c:v>
                </c:pt>
                <c:pt idx="137">
                  <c:v>2</c:v>
                </c:pt>
                <c:pt idx="138">
                  <c:v>2.33</c:v>
                </c:pt>
                <c:pt idx="139">
                  <c:v>2.33</c:v>
                </c:pt>
                <c:pt idx="140">
                  <c:v>2.17</c:v>
                </c:pt>
                <c:pt idx="141">
                  <c:v>2.33</c:v>
                </c:pt>
                <c:pt idx="142">
                  <c:v>2.33</c:v>
                </c:pt>
                <c:pt idx="143">
                  <c:v>2.5</c:v>
                </c:pt>
                <c:pt idx="144">
                  <c:v>2.5</c:v>
                </c:pt>
                <c:pt idx="145">
                  <c:v>2.33</c:v>
                </c:pt>
                <c:pt idx="146">
                  <c:v>1.83</c:v>
                </c:pt>
                <c:pt idx="147">
                  <c:v>2.17</c:v>
                </c:pt>
                <c:pt idx="148">
                  <c:v>2.33</c:v>
                </c:pt>
                <c:pt idx="149">
                  <c:v>2.17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00-4731-B2C5-E20876183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49103"/>
        <c:axId val="16637423"/>
      </c:scatterChart>
      <c:valAx>
        <c:axId val="212749103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7423"/>
        <c:crosses val="autoZero"/>
        <c:crossBetween val="midCat"/>
        <c:majorUnit val="5"/>
      </c:valAx>
      <c:valAx>
        <c:axId val="16637423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Slip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4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%Slip at 25 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'750 Pieces'!$A$768:$A$917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xVal>
          <c:yVal>
            <c:numRef>
              <c:f>'750 Pieces'!$C$768:$C$917</c:f>
              <c:numCache>
                <c:formatCode>General</c:formatCode>
                <c:ptCount val="150"/>
                <c:pt idx="0">
                  <c:v>1.87</c:v>
                </c:pt>
                <c:pt idx="1">
                  <c:v>1.73</c:v>
                </c:pt>
                <c:pt idx="2">
                  <c:v>1.73</c:v>
                </c:pt>
                <c:pt idx="3">
                  <c:v>1.6</c:v>
                </c:pt>
                <c:pt idx="4">
                  <c:v>2</c:v>
                </c:pt>
                <c:pt idx="5">
                  <c:v>1.87</c:v>
                </c:pt>
                <c:pt idx="6">
                  <c:v>2</c:v>
                </c:pt>
                <c:pt idx="7">
                  <c:v>1.73</c:v>
                </c:pt>
                <c:pt idx="8">
                  <c:v>1.87</c:v>
                </c:pt>
                <c:pt idx="9">
                  <c:v>2</c:v>
                </c:pt>
                <c:pt idx="10">
                  <c:v>1.73</c:v>
                </c:pt>
                <c:pt idx="11">
                  <c:v>2</c:v>
                </c:pt>
                <c:pt idx="12">
                  <c:v>1.6</c:v>
                </c:pt>
                <c:pt idx="13">
                  <c:v>1.73</c:v>
                </c:pt>
                <c:pt idx="14">
                  <c:v>1.6</c:v>
                </c:pt>
                <c:pt idx="15">
                  <c:v>1.6</c:v>
                </c:pt>
                <c:pt idx="16">
                  <c:v>1.73</c:v>
                </c:pt>
                <c:pt idx="17">
                  <c:v>1.6</c:v>
                </c:pt>
                <c:pt idx="18">
                  <c:v>1.87</c:v>
                </c:pt>
                <c:pt idx="19">
                  <c:v>1.6</c:v>
                </c:pt>
                <c:pt idx="20">
                  <c:v>1.73</c:v>
                </c:pt>
                <c:pt idx="21">
                  <c:v>1.6</c:v>
                </c:pt>
                <c:pt idx="22">
                  <c:v>1.73</c:v>
                </c:pt>
                <c:pt idx="23">
                  <c:v>1.87</c:v>
                </c:pt>
                <c:pt idx="24">
                  <c:v>1.6</c:v>
                </c:pt>
                <c:pt idx="25">
                  <c:v>1.47</c:v>
                </c:pt>
                <c:pt idx="26">
                  <c:v>1.2</c:v>
                </c:pt>
                <c:pt idx="27">
                  <c:v>1.47</c:v>
                </c:pt>
                <c:pt idx="28">
                  <c:v>1.6</c:v>
                </c:pt>
                <c:pt idx="29">
                  <c:v>1.47</c:v>
                </c:pt>
                <c:pt idx="30">
                  <c:v>1.47</c:v>
                </c:pt>
                <c:pt idx="31">
                  <c:v>1.47</c:v>
                </c:pt>
                <c:pt idx="32">
                  <c:v>1.47</c:v>
                </c:pt>
                <c:pt idx="33">
                  <c:v>1.6</c:v>
                </c:pt>
                <c:pt idx="34">
                  <c:v>1.47</c:v>
                </c:pt>
                <c:pt idx="35">
                  <c:v>1.47</c:v>
                </c:pt>
                <c:pt idx="36">
                  <c:v>1.47</c:v>
                </c:pt>
                <c:pt idx="37">
                  <c:v>1.47</c:v>
                </c:pt>
                <c:pt idx="38">
                  <c:v>1.73</c:v>
                </c:pt>
                <c:pt idx="39">
                  <c:v>1.6</c:v>
                </c:pt>
                <c:pt idx="40">
                  <c:v>1.2</c:v>
                </c:pt>
                <c:pt idx="41">
                  <c:v>1.47</c:v>
                </c:pt>
                <c:pt idx="42">
                  <c:v>1.33</c:v>
                </c:pt>
                <c:pt idx="43">
                  <c:v>1.33</c:v>
                </c:pt>
                <c:pt idx="44">
                  <c:v>1.47</c:v>
                </c:pt>
                <c:pt idx="45">
                  <c:v>1.6</c:v>
                </c:pt>
                <c:pt idx="46">
                  <c:v>1.2</c:v>
                </c:pt>
                <c:pt idx="47">
                  <c:v>1.33</c:v>
                </c:pt>
                <c:pt idx="48">
                  <c:v>1.47</c:v>
                </c:pt>
                <c:pt idx="49">
                  <c:v>1.47</c:v>
                </c:pt>
                <c:pt idx="50">
                  <c:v>1.6</c:v>
                </c:pt>
                <c:pt idx="51">
                  <c:v>1.47</c:v>
                </c:pt>
                <c:pt idx="52">
                  <c:v>1.47</c:v>
                </c:pt>
                <c:pt idx="53">
                  <c:v>1.47</c:v>
                </c:pt>
                <c:pt idx="54">
                  <c:v>1.73</c:v>
                </c:pt>
                <c:pt idx="55">
                  <c:v>1.6</c:v>
                </c:pt>
                <c:pt idx="56">
                  <c:v>1.6</c:v>
                </c:pt>
                <c:pt idx="57">
                  <c:v>1.6</c:v>
                </c:pt>
                <c:pt idx="58">
                  <c:v>1.6</c:v>
                </c:pt>
                <c:pt idx="59">
                  <c:v>1.6</c:v>
                </c:pt>
                <c:pt idx="60">
                  <c:v>1.33</c:v>
                </c:pt>
                <c:pt idx="61">
                  <c:v>1.47</c:v>
                </c:pt>
                <c:pt idx="62">
                  <c:v>1.6</c:v>
                </c:pt>
                <c:pt idx="63">
                  <c:v>1.6</c:v>
                </c:pt>
                <c:pt idx="64">
                  <c:v>1.47</c:v>
                </c:pt>
                <c:pt idx="65">
                  <c:v>1.6</c:v>
                </c:pt>
                <c:pt idx="66">
                  <c:v>1.6</c:v>
                </c:pt>
                <c:pt idx="67">
                  <c:v>1.47</c:v>
                </c:pt>
                <c:pt idx="68">
                  <c:v>1.6</c:v>
                </c:pt>
                <c:pt idx="69">
                  <c:v>1.6</c:v>
                </c:pt>
                <c:pt idx="70">
                  <c:v>1.6</c:v>
                </c:pt>
                <c:pt idx="71">
                  <c:v>1.47</c:v>
                </c:pt>
                <c:pt idx="72">
                  <c:v>1.33</c:v>
                </c:pt>
                <c:pt idx="73">
                  <c:v>1.87</c:v>
                </c:pt>
                <c:pt idx="74">
                  <c:v>1.47</c:v>
                </c:pt>
                <c:pt idx="75">
                  <c:v>1.47</c:v>
                </c:pt>
                <c:pt idx="76">
                  <c:v>1.2</c:v>
                </c:pt>
                <c:pt idx="77">
                  <c:v>1.47</c:v>
                </c:pt>
                <c:pt idx="78">
                  <c:v>1.6</c:v>
                </c:pt>
                <c:pt idx="79">
                  <c:v>1.47</c:v>
                </c:pt>
                <c:pt idx="80">
                  <c:v>1.47</c:v>
                </c:pt>
                <c:pt idx="81">
                  <c:v>1.47</c:v>
                </c:pt>
                <c:pt idx="82">
                  <c:v>1.47</c:v>
                </c:pt>
                <c:pt idx="83">
                  <c:v>1.6</c:v>
                </c:pt>
                <c:pt idx="84">
                  <c:v>1.47</c:v>
                </c:pt>
                <c:pt idx="85">
                  <c:v>1.47</c:v>
                </c:pt>
                <c:pt idx="86">
                  <c:v>1.47</c:v>
                </c:pt>
                <c:pt idx="87">
                  <c:v>1.47</c:v>
                </c:pt>
                <c:pt idx="88">
                  <c:v>1.73</c:v>
                </c:pt>
                <c:pt idx="89">
                  <c:v>1.6</c:v>
                </c:pt>
                <c:pt idx="90">
                  <c:v>1.2</c:v>
                </c:pt>
                <c:pt idx="91">
                  <c:v>1.47</c:v>
                </c:pt>
                <c:pt idx="92">
                  <c:v>1.33</c:v>
                </c:pt>
                <c:pt idx="93">
                  <c:v>1.33</c:v>
                </c:pt>
                <c:pt idx="94">
                  <c:v>1.47</c:v>
                </c:pt>
                <c:pt idx="95">
                  <c:v>1.6</c:v>
                </c:pt>
                <c:pt idx="96">
                  <c:v>1.2</c:v>
                </c:pt>
                <c:pt idx="97">
                  <c:v>1.33</c:v>
                </c:pt>
                <c:pt idx="98">
                  <c:v>1.47</c:v>
                </c:pt>
                <c:pt idx="99">
                  <c:v>1.47</c:v>
                </c:pt>
                <c:pt idx="100">
                  <c:v>1.87</c:v>
                </c:pt>
                <c:pt idx="101">
                  <c:v>1.73</c:v>
                </c:pt>
                <c:pt idx="102">
                  <c:v>1.73</c:v>
                </c:pt>
                <c:pt idx="103">
                  <c:v>1.6</c:v>
                </c:pt>
                <c:pt idx="104">
                  <c:v>2</c:v>
                </c:pt>
                <c:pt idx="105">
                  <c:v>1.87</c:v>
                </c:pt>
                <c:pt idx="106">
                  <c:v>2</c:v>
                </c:pt>
                <c:pt idx="107">
                  <c:v>1.73</c:v>
                </c:pt>
                <c:pt idx="108">
                  <c:v>1.87</c:v>
                </c:pt>
                <c:pt idx="109">
                  <c:v>2</c:v>
                </c:pt>
                <c:pt idx="110">
                  <c:v>1.73</c:v>
                </c:pt>
                <c:pt idx="111">
                  <c:v>2</c:v>
                </c:pt>
                <c:pt idx="112">
                  <c:v>1.6</c:v>
                </c:pt>
                <c:pt idx="113">
                  <c:v>1.73</c:v>
                </c:pt>
                <c:pt idx="114">
                  <c:v>1.6</c:v>
                </c:pt>
                <c:pt idx="115">
                  <c:v>1.6</c:v>
                </c:pt>
                <c:pt idx="116">
                  <c:v>1.73</c:v>
                </c:pt>
                <c:pt idx="117">
                  <c:v>1.6</c:v>
                </c:pt>
                <c:pt idx="118">
                  <c:v>1.87</c:v>
                </c:pt>
                <c:pt idx="119">
                  <c:v>1.6</c:v>
                </c:pt>
                <c:pt idx="120">
                  <c:v>1.73</c:v>
                </c:pt>
                <c:pt idx="121">
                  <c:v>1.6</c:v>
                </c:pt>
                <c:pt idx="122">
                  <c:v>1.73</c:v>
                </c:pt>
                <c:pt idx="123">
                  <c:v>1.87</c:v>
                </c:pt>
                <c:pt idx="124">
                  <c:v>1.6</c:v>
                </c:pt>
                <c:pt idx="125">
                  <c:v>1.87</c:v>
                </c:pt>
                <c:pt idx="126">
                  <c:v>1.73</c:v>
                </c:pt>
                <c:pt idx="127">
                  <c:v>1.6</c:v>
                </c:pt>
                <c:pt idx="128">
                  <c:v>1.87</c:v>
                </c:pt>
                <c:pt idx="129">
                  <c:v>2</c:v>
                </c:pt>
                <c:pt idx="130">
                  <c:v>1.87</c:v>
                </c:pt>
                <c:pt idx="131">
                  <c:v>1.6</c:v>
                </c:pt>
                <c:pt idx="132">
                  <c:v>1.6</c:v>
                </c:pt>
                <c:pt idx="133">
                  <c:v>1.73</c:v>
                </c:pt>
                <c:pt idx="134">
                  <c:v>1.87</c:v>
                </c:pt>
                <c:pt idx="135">
                  <c:v>1.73</c:v>
                </c:pt>
                <c:pt idx="136">
                  <c:v>1.87</c:v>
                </c:pt>
                <c:pt idx="137">
                  <c:v>2</c:v>
                </c:pt>
                <c:pt idx="138">
                  <c:v>1.47</c:v>
                </c:pt>
                <c:pt idx="139">
                  <c:v>1.87</c:v>
                </c:pt>
                <c:pt idx="140">
                  <c:v>1.87</c:v>
                </c:pt>
                <c:pt idx="141">
                  <c:v>1.87</c:v>
                </c:pt>
                <c:pt idx="142">
                  <c:v>1.73</c:v>
                </c:pt>
                <c:pt idx="143">
                  <c:v>1.6</c:v>
                </c:pt>
                <c:pt idx="144">
                  <c:v>1.6</c:v>
                </c:pt>
                <c:pt idx="145">
                  <c:v>1.87</c:v>
                </c:pt>
                <c:pt idx="146">
                  <c:v>1.87</c:v>
                </c:pt>
                <c:pt idx="147">
                  <c:v>1.73</c:v>
                </c:pt>
                <c:pt idx="148">
                  <c:v>1.6</c:v>
                </c:pt>
                <c:pt idx="149">
                  <c:v>1.87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CC-4C85-8DE3-408E3EA56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49103"/>
        <c:axId val="16637423"/>
      </c:scatterChart>
      <c:valAx>
        <c:axId val="212749103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7423"/>
        <c:crosses val="autoZero"/>
        <c:crossBetween val="midCat"/>
        <c:majorUnit val="5"/>
      </c:valAx>
      <c:valAx>
        <c:axId val="16637423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Slip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4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%Slip at 30 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yVal>
            <c:numRef>
              <c:f>'750 Pieces'!$D$768:$D$917</c:f>
              <c:numCache>
                <c:formatCode>General</c:formatCode>
                <c:ptCount val="150"/>
                <c:pt idx="0">
                  <c:v>1.1100000000000001</c:v>
                </c:pt>
                <c:pt idx="1">
                  <c:v>1</c:v>
                </c:pt>
                <c:pt idx="2">
                  <c:v>1.22</c:v>
                </c:pt>
                <c:pt idx="3">
                  <c:v>1.33</c:v>
                </c:pt>
                <c:pt idx="4">
                  <c:v>1.22</c:v>
                </c:pt>
                <c:pt idx="5">
                  <c:v>1.22</c:v>
                </c:pt>
                <c:pt idx="6">
                  <c:v>1.22</c:v>
                </c:pt>
                <c:pt idx="7">
                  <c:v>1</c:v>
                </c:pt>
                <c:pt idx="8">
                  <c:v>1.22</c:v>
                </c:pt>
                <c:pt idx="9">
                  <c:v>1.1100000000000001</c:v>
                </c:pt>
                <c:pt idx="10">
                  <c:v>1.22</c:v>
                </c:pt>
                <c:pt idx="11">
                  <c:v>1.22</c:v>
                </c:pt>
                <c:pt idx="12">
                  <c:v>0.89</c:v>
                </c:pt>
                <c:pt idx="13">
                  <c:v>1</c:v>
                </c:pt>
                <c:pt idx="14">
                  <c:v>1.1100000000000001</c:v>
                </c:pt>
                <c:pt idx="15">
                  <c:v>1.1100000000000001</c:v>
                </c:pt>
                <c:pt idx="16">
                  <c:v>1</c:v>
                </c:pt>
                <c:pt idx="17">
                  <c:v>1</c:v>
                </c:pt>
                <c:pt idx="18">
                  <c:v>1.22</c:v>
                </c:pt>
                <c:pt idx="19">
                  <c:v>1</c:v>
                </c:pt>
                <c:pt idx="20">
                  <c:v>1.22</c:v>
                </c:pt>
                <c:pt idx="21">
                  <c:v>1</c:v>
                </c:pt>
                <c:pt idx="22">
                  <c:v>1</c:v>
                </c:pt>
                <c:pt idx="23">
                  <c:v>1.22</c:v>
                </c:pt>
                <c:pt idx="24">
                  <c:v>1.33</c:v>
                </c:pt>
                <c:pt idx="25">
                  <c:v>1.22</c:v>
                </c:pt>
                <c:pt idx="26">
                  <c:v>1.33</c:v>
                </c:pt>
                <c:pt idx="27">
                  <c:v>1.33</c:v>
                </c:pt>
                <c:pt idx="28">
                  <c:v>1.22</c:v>
                </c:pt>
                <c:pt idx="29">
                  <c:v>1.22</c:v>
                </c:pt>
                <c:pt idx="30">
                  <c:v>1.22</c:v>
                </c:pt>
                <c:pt idx="31">
                  <c:v>1.33</c:v>
                </c:pt>
                <c:pt idx="32">
                  <c:v>1.22</c:v>
                </c:pt>
                <c:pt idx="33">
                  <c:v>1.33</c:v>
                </c:pt>
                <c:pt idx="34">
                  <c:v>1.33</c:v>
                </c:pt>
                <c:pt idx="35">
                  <c:v>1</c:v>
                </c:pt>
                <c:pt idx="36">
                  <c:v>1.33</c:v>
                </c:pt>
                <c:pt idx="37">
                  <c:v>1.56</c:v>
                </c:pt>
                <c:pt idx="38">
                  <c:v>1.33</c:v>
                </c:pt>
                <c:pt idx="39">
                  <c:v>1.33</c:v>
                </c:pt>
                <c:pt idx="40">
                  <c:v>1.56</c:v>
                </c:pt>
                <c:pt idx="41">
                  <c:v>1.1100000000000001</c:v>
                </c:pt>
                <c:pt idx="42">
                  <c:v>1.56</c:v>
                </c:pt>
                <c:pt idx="43">
                  <c:v>1.56</c:v>
                </c:pt>
                <c:pt idx="44">
                  <c:v>1.22</c:v>
                </c:pt>
                <c:pt idx="45">
                  <c:v>1.44</c:v>
                </c:pt>
                <c:pt idx="46">
                  <c:v>1.22</c:v>
                </c:pt>
                <c:pt idx="47">
                  <c:v>1.22</c:v>
                </c:pt>
                <c:pt idx="48">
                  <c:v>1.56</c:v>
                </c:pt>
                <c:pt idx="49">
                  <c:v>1.33</c:v>
                </c:pt>
                <c:pt idx="50">
                  <c:v>1.1100000000000001</c:v>
                </c:pt>
                <c:pt idx="51">
                  <c:v>1</c:v>
                </c:pt>
                <c:pt idx="52">
                  <c:v>1.22</c:v>
                </c:pt>
                <c:pt idx="53">
                  <c:v>1.33</c:v>
                </c:pt>
                <c:pt idx="54">
                  <c:v>1.22</c:v>
                </c:pt>
                <c:pt idx="55">
                  <c:v>1.22</c:v>
                </c:pt>
                <c:pt idx="56">
                  <c:v>1.22</c:v>
                </c:pt>
                <c:pt idx="57">
                  <c:v>1</c:v>
                </c:pt>
                <c:pt idx="58">
                  <c:v>1.22</c:v>
                </c:pt>
                <c:pt idx="59">
                  <c:v>1.1100000000000001</c:v>
                </c:pt>
                <c:pt idx="60">
                  <c:v>1.22</c:v>
                </c:pt>
                <c:pt idx="61">
                  <c:v>1.22</c:v>
                </c:pt>
                <c:pt idx="62">
                  <c:v>0.89</c:v>
                </c:pt>
                <c:pt idx="63">
                  <c:v>1</c:v>
                </c:pt>
                <c:pt idx="64">
                  <c:v>1.1100000000000001</c:v>
                </c:pt>
                <c:pt idx="65">
                  <c:v>1.1100000000000001</c:v>
                </c:pt>
                <c:pt idx="66">
                  <c:v>1</c:v>
                </c:pt>
                <c:pt idx="67">
                  <c:v>1</c:v>
                </c:pt>
                <c:pt idx="68">
                  <c:v>1.22</c:v>
                </c:pt>
                <c:pt idx="69">
                  <c:v>1</c:v>
                </c:pt>
                <c:pt idx="70">
                  <c:v>1.22</c:v>
                </c:pt>
                <c:pt idx="71">
                  <c:v>1</c:v>
                </c:pt>
                <c:pt idx="72">
                  <c:v>1</c:v>
                </c:pt>
                <c:pt idx="73">
                  <c:v>1.22</c:v>
                </c:pt>
                <c:pt idx="74">
                  <c:v>1.1100000000000001</c:v>
                </c:pt>
                <c:pt idx="75">
                  <c:v>1.22</c:v>
                </c:pt>
                <c:pt idx="76">
                  <c:v>1</c:v>
                </c:pt>
                <c:pt idx="77">
                  <c:v>1.1100000000000001</c:v>
                </c:pt>
                <c:pt idx="78">
                  <c:v>1.1100000000000001</c:v>
                </c:pt>
                <c:pt idx="79">
                  <c:v>1.1100000000000001</c:v>
                </c:pt>
                <c:pt idx="80">
                  <c:v>1</c:v>
                </c:pt>
                <c:pt idx="81">
                  <c:v>1.1100000000000001</c:v>
                </c:pt>
                <c:pt idx="82">
                  <c:v>1.1100000000000001</c:v>
                </c:pt>
                <c:pt idx="83">
                  <c:v>1.22</c:v>
                </c:pt>
                <c:pt idx="84">
                  <c:v>1</c:v>
                </c:pt>
                <c:pt idx="85">
                  <c:v>1.1100000000000001</c:v>
                </c:pt>
                <c:pt idx="86">
                  <c:v>1.22</c:v>
                </c:pt>
                <c:pt idx="87">
                  <c:v>1.1100000000000001</c:v>
                </c:pt>
                <c:pt idx="88">
                  <c:v>1.1100000000000001</c:v>
                </c:pt>
                <c:pt idx="89">
                  <c:v>1.1100000000000001</c:v>
                </c:pt>
                <c:pt idx="90">
                  <c:v>0.89</c:v>
                </c:pt>
                <c:pt idx="91">
                  <c:v>1.33</c:v>
                </c:pt>
                <c:pt idx="92">
                  <c:v>1.1100000000000001</c:v>
                </c:pt>
                <c:pt idx="93">
                  <c:v>1.22</c:v>
                </c:pt>
                <c:pt idx="94">
                  <c:v>1.1100000000000001</c:v>
                </c:pt>
                <c:pt idx="95">
                  <c:v>1.1100000000000001</c:v>
                </c:pt>
                <c:pt idx="96">
                  <c:v>1</c:v>
                </c:pt>
                <c:pt idx="97">
                  <c:v>1.22</c:v>
                </c:pt>
                <c:pt idx="98">
                  <c:v>1.33</c:v>
                </c:pt>
                <c:pt idx="99">
                  <c:v>1.22</c:v>
                </c:pt>
                <c:pt idx="100">
                  <c:v>1.67</c:v>
                </c:pt>
                <c:pt idx="101">
                  <c:v>1.33</c:v>
                </c:pt>
                <c:pt idx="102">
                  <c:v>1.22</c:v>
                </c:pt>
                <c:pt idx="103">
                  <c:v>1.22</c:v>
                </c:pt>
                <c:pt idx="104">
                  <c:v>1.56</c:v>
                </c:pt>
                <c:pt idx="105">
                  <c:v>1.22</c:v>
                </c:pt>
                <c:pt idx="106">
                  <c:v>1.33</c:v>
                </c:pt>
                <c:pt idx="107">
                  <c:v>1.44</c:v>
                </c:pt>
                <c:pt idx="108">
                  <c:v>1.44</c:v>
                </c:pt>
                <c:pt idx="109">
                  <c:v>1.22</c:v>
                </c:pt>
                <c:pt idx="110">
                  <c:v>1.22</c:v>
                </c:pt>
                <c:pt idx="111">
                  <c:v>1.33</c:v>
                </c:pt>
                <c:pt idx="112">
                  <c:v>1.56</c:v>
                </c:pt>
                <c:pt idx="113">
                  <c:v>1.44</c:v>
                </c:pt>
                <c:pt idx="114">
                  <c:v>1.56</c:v>
                </c:pt>
                <c:pt idx="115">
                  <c:v>1.33</c:v>
                </c:pt>
                <c:pt idx="116">
                  <c:v>1.33</c:v>
                </c:pt>
                <c:pt idx="117">
                  <c:v>1.22</c:v>
                </c:pt>
                <c:pt idx="118">
                  <c:v>1.22</c:v>
                </c:pt>
                <c:pt idx="119">
                  <c:v>1</c:v>
                </c:pt>
                <c:pt idx="120">
                  <c:v>1.33</c:v>
                </c:pt>
                <c:pt idx="121">
                  <c:v>1.67</c:v>
                </c:pt>
                <c:pt idx="122">
                  <c:v>1.33</c:v>
                </c:pt>
                <c:pt idx="123">
                  <c:v>1.33</c:v>
                </c:pt>
                <c:pt idx="124">
                  <c:v>1.33</c:v>
                </c:pt>
                <c:pt idx="125">
                  <c:v>1.22</c:v>
                </c:pt>
                <c:pt idx="126">
                  <c:v>1.33</c:v>
                </c:pt>
                <c:pt idx="127">
                  <c:v>1.33</c:v>
                </c:pt>
                <c:pt idx="128">
                  <c:v>1.22</c:v>
                </c:pt>
                <c:pt idx="129">
                  <c:v>1.22</c:v>
                </c:pt>
                <c:pt idx="130">
                  <c:v>1.22</c:v>
                </c:pt>
                <c:pt idx="131">
                  <c:v>1.33</c:v>
                </c:pt>
                <c:pt idx="132">
                  <c:v>1.22</c:v>
                </c:pt>
                <c:pt idx="133">
                  <c:v>1.33</c:v>
                </c:pt>
                <c:pt idx="134">
                  <c:v>1.33</c:v>
                </c:pt>
                <c:pt idx="135">
                  <c:v>1</c:v>
                </c:pt>
                <c:pt idx="136">
                  <c:v>1.33</c:v>
                </c:pt>
                <c:pt idx="137">
                  <c:v>1.56</c:v>
                </c:pt>
                <c:pt idx="138">
                  <c:v>1.33</c:v>
                </c:pt>
                <c:pt idx="139">
                  <c:v>1.33</c:v>
                </c:pt>
                <c:pt idx="140">
                  <c:v>1.56</c:v>
                </c:pt>
                <c:pt idx="141">
                  <c:v>1.1100000000000001</c:v>
                </c:pt>
                <c:pt idx="142">
                  <c:v>1.56</c:v>
                </c:pt>
                <c:pt idx="143">
                  <c:v>1.56</c:v>
                </c:pt>
                <c:pt idx="144">
                  <c:v>1.22</c:v>
                </c:pt>
                <c:pt idx="145">
                  <c:v>1.44</c:v>
                </c:pt>
                <c:pt idx="146">
                  <c:v>1.22</c:v>
                </c:pt>
                <c:pt idx="147">
                  <c:v>1.22</c:v>
                </c:pt>
                <c:pt idx="148">
                  <c:v>1.56</c:v>
                </c:pt>
                <c:pt idx="149">
                  <c:v>1.33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43-4FA0-884E-D6222A2B2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49103"/>
        <c:axId val="16637423"/>
      </c:scatterChart>
      <c:valAx>
        <c:axId val="212749103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7423"/>
        <c:crosses val="autoZero"/>
        <c:crossBetween val="midCat"/>
        <c:majorUnit val="5"/>
      </c:valAx>
      <c:valAx>
        <c:axId val="16637423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Slip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4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%Slip at 35 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'750 Pieces'!$A$768:$A$917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xVal>
          <c:yVal>
            <c:numRef>
              <c:f>'750 Pieces'!$E$768:$E$917</c:f>
              <c:numCache>
                <c:formatCode>General</c:formatCode>
                <c:ptCount val="150"/>
                <c:pt idx="0">
                  <c:v>1.33</c:v>
                </c:pt>
                <c:pt idx="1">
                  <c:v>1.33</c:v>
                </c:pt>
                <c:pt idx="2">
                  <c:v>1.05</c:v>
                </c:pt>
                <c:pt idx="3">
                  <c:v>0.95</c:v>
                </c:pt>
                <c:pt idx="4">
                  <c:v>1.1399999999999999</c:v>
                </c:pt>
                <c:pt idx="5">
                  <c:v>1.05</c:v>
                </c:pt>
                <c:pt idx="6">
                  <c:v>0.86</c:v>
                </c:pt>
                <c:pt idx="7">
                  <c:v>0.76</c:v>
                </c:pt>
                <c:pt idx="8">
                  <c:v>1.05</c:v>
                </c:pt>
                <c:pt idx="9">
                  <c:v>0.95</c:v>
                </c:pt>
                <c:pt idx="10">
                  <c:v>1.05</c:v>
                </c:pt>
                <c:pt idx="11">
                  <c:v>0.86</c:v>
                </c:pt>
                <c:pt idx="12">
                  <c:v>1.05</c:v>
                </c:pt>
                <c:pt idx="13">
                  <c:v>0.86</c:v>
                </c:pt>
                <c:pt idx="14">
                  <c:v>0.86</c:v>
                </c:pt>
                <c:pt idx="15">
                  <c:v>1.24</c:v>
                </c:pt>
                <c:pt idx="16">
                  <c:v>0.95</c:v>
                </c:pt>
                <c:pt idx="17">
                  <c:v>0.86</c:v>
                </c:pt>
                <c:pt idx="18">
                  <c:v>0.86</c:v>
                </c:pt>
                <c:pt idx="19">
                  <c:v>1.1399999999999999</c:v>
                </c:pt>
                <c:pt idx="20">
                  <c:v>0.86</c:v>
                </c:pt>
                <c:pt idx="21">
                  <c:v>1.05</c:v>
                </c:pt>
                <c:pt idx="22">
                  <c:v>1.1399999999999999</c:v>
                </c:pt>
                <c:pt idx="23">
                  <c:v>1.05</c:v>
                </c:pt>
                <c:pt idx="24">
                  <c:v>0.86</c:v>
                </c:pt>
                <c:pt idx="25">
                  <c:v>1.05</c:v>
                </c:pt>
                <c:pt idx="26">
                  <c:v>0.86</c:v>
                </c:pt>
                <c:pt idx="27">
                  <c:v>0.76</c:v>
                </c:pt>
                <c:pt idx="28">
                  <c:v>0.86</c:v>
                </c:pt>
                <c:pt idx="29">
                  <c:v>1.1399999999999999</c:v>
                </c:pt>
                <c:pt idx="30">
                  <c:v>0.86</c:v>
                </c:pt>
                <c:pt idx="31">
                  <c:v>0.86</c:v>
                </c:pt>
                <c:pt idx="32">
                  <c:v>1.1399999999999999</c:v>
                </c:pt>
                <c:pt idx="33">
                  <c:v>1.05</c:v>
                </c:pt>
                <c:pt idx="34">
                  <c:v>1.05</c:v>
                </c:pt>
                <c:pt idx="35">
                  <c:v>0.76</c:v>
                </c:pt>
                <c:pt idx="36">
                  <c:v>1.05</c:v>
                </c:pt>
                <c:pt idx="37">
                  <c:v>1.05</c:v>
                </c:pt>
                <c:pt idx="38">
                  <c:v>0.86</c:v>
                </c:pt>
                <c:pt idx="39">
                  <c:v>0.95</c:v>
                </c:pt>
                <c:pt idx="40">
                  <c:v>0.86</c:v>
                </c:pt>
                <c:pt idx="41">
                  <c:v>0.95</c:v>
                </c:pt>
                <c:pt idx="42">
                  <c:v>1.1399999999999999</c:v>
                </c:pt>
                <c:pt idx="43">
                  <c:v>1.05</c:v>
                </c:pt>
                <c:pt idx="44">
                  <c:v>1.05</c:v>
                </c:pt>
                <c:pt idx="45">
                  <c:v>0.95</c:v>
                </c:pt>
                <c:pt idx="46">
                  <c:v>1.1399999999999999</c:v>
                </c:pt>
                <c:pt idx="47">
                  <c:v>1.05</c:v>
                </c:pt>
                <c:pt idx="48">
                  <c:v>0.95</c:v>
                </c:pt>
                <c:pt idx="49">
                  <c:v>1.1399999999999999</c:v>
                </c:pt>
                <c:pt idx="50">
                  <c:v>1.33</c:v>
                </c:pt>
                <c:pt idx="51">
                  <c:v>1.33</c:v>
                </c:pt>
                <c:pt idx="52">
                  <c:v>1.05</c:v>
                </c:pt>
                <c:pt idx="53">
                  <c:v>0.95</c:v>
                </c:pt>
                <c:pt idx="54">
                  <c:v>1.1399999999999999</c:v>
                </c:pt>
                <c:pt idx="55">
                  <c:v>1.05</c:v>
                </c:pt>
                <c:pt idx="56">
                  <c:v>0.86</c:v>
                </c:pt>
                <c:pt idx="57">
                  <c:v>0.76</c:v>
                </c:pt>
                <c:pt idx="58">
                  <c:v>1.05</c:v>
                </c:pt>
                <c:pt idx="59">
                  <c:v>0.95</c:v>
                </c:pt>
                <c:pt idx="60">
                  <c:v>1.05</c:v>
                </c:pt>
                <c:pt idx="61">
                  <c:v>0.86</c:v>
                </c:pt>
                <c:pt idx="62">
                  <c:v>1.05</c:v>
                </c:pt>
                <c:pt idx="63">
                  <c:v>0.86</c:v>
                </c:pt>
                <c:pt idx="64">
                  <c:v>0.86</c:v>
                </c:pt>
                <c:pt idx="65">
                  <c:v>1.24</c:v>
                </c:pt>
                <c:pt idx="66">
                  <c:v>0.95</c:v>
                </c:pt>
                <c:pt idx="67">
                  <c:v>0.86</c:v>
                </c:pt>
                <c:pt idx="68">
                  <c:v>0.86</c:v>
                </c:pt>
                <c:pt idx="69">
                  <c:v>1.1399999999999999</c:v>
                </c:pt>
                <c:pt idx="70">
                  <c:v>0.86</c:v>
                </c:pt>
                <c:pt idx="71">
                  <c:v>1.05</c:v>
                </c:pt>
                <c:pt idx="72">
                  <c:v>1.1399999999999999</c:v>
                </c:pt>
                <c:pt idx="73">
                  <c:v>1.05</c:v>
                </c:pt>
                <c:pt idx="74">
                  <c:v>0.86</c:v>
                </c:pt>
                <c:pt idx="75">
                  <c:v>1.05</c:v>
                </c:pt>
                <c:pt idx="76">
                  <c:v>0.86</c:v>
                </c:pt>
                <c:pt idx="77">
                  <c:v>0.76</c:v>
                </c:pt>
                <c:pt idx="78">
                  <c:v>0.86</c:v>
                </c:pt>
                <c:pt idx="79">
                  <c:v>1.05</c:v>
                </c:pt>
                <c:pt idx="80">
                  <c:v>0.76</c:v>
                </c:pt>
                <c:pt idx="81">
                  <c:v>1.1399999999999999</c:v>
                </c:pt>
                <c:pt idx="82">
                  <c:v>0.76</c:v>
                </c:pt>
                <c:pt idx="83">
                  <c:v>1.1399999999999999</c:v>
                </c:pt>
                <c:pt idx="84">
                  <c:v>0.86</c:v>
                </c:pt>
                <c:pt idx="85">
                  <c:v>1.1399999999999999</c:v>
                </c:pt>
                <c:pt idx="86">
                  <c:v>0.95</c:v>
                </c:pt>
                <c:pt idx="87">
                  <c:v>0.86</c:v>
                </c:pt>
                <c:pt idx="88">
                  <c:v>0.86</c:v>
                </c:pt>
                <c:pt idx="89">
                  <c:v>0.95</c:v>
                </c:pt>
                <c:pt idx="90">
                  <c:v>1.1399999999999999</c:v>
                </c:pt>
                <c:pt idx="91">
                  <c:v>0.76</c:v>
                </c:pt>
                <c:pt idx="92">
                  <c:v>1.05</c:v>
                </c:pt>
                <c:pt idx="93">
                  <c:v>1.05</c:v>
                </c:pt>
                <c:pt idx="94">
                  <c:v>1.05</c:v>
                </c:pt>
                <c:pt idx="95">
                  <c:v>0.86</c:v>
                </c:pt>
                <c:pt idx="96">
                  <c:v>0.76</c:v>
                </c:pt>
                <c:pt idx="97">
                  <c:v>0.76</c:v>
                </c:pt>
                <c:pt idx="98">
                  <c:v>0.95</c:v>
                </c:pt>
                <c:pt idx="99">
                  <c:v>1.05</c:v>
                </c:pt>
                <c:pt idx="100">
                  <c:v>0.86</c:v>
                </c:pt>
                <c:pt idx="101">
                  <c:v>0.86</c:v>
                </c:pt>
                <c:pt idx="102">
                  <c:v>1.05</c:v>
                </c:pt>
                <c:pt idx="103">
                  <c:v>1.1399999999999999</c:v>
                </c:pt>
                <c:pt idx="104">
                  <c:v>1.05</c:v>
                </c:pt>
                <c:pt idx="105">
                  <c:v>1.05</c:v>
                </c:pt>
                <c:pt idx="106">
                  <c:v>0.86</c:v>
                </c:pt>
                <c:pt idx="107">
                  <c:v>1.1399999999999999</c:v>
                </c:pt>
                <c:pt idx="108">
                  <c:v>0.95</c:v>
                </c:pt>
                <c:pt idx="109">
                  <c:v>0.95</c:v>
                </c:pt>
                <c:pt idx="110">
                  <c:v>0.76</c:v>
                </c:pt>
                <c:pt idx="111">
                  <c:v>0.95</c:v>
                </c:pt>
                <c:pt idx="112">
                  <c:v>0.86</c:v>
                </c:pt>
                <c:pt idx="113">
                  <c:v>0.86</c:v>
                </c:pt>
                <c:pt idx="114">
                  <c:v>0.95</c:v>
                </c:pt>
                <c:pt idx="115">
                  <c:v>1.05</c:v>
                </c:pt>
                <c:pt idx="116">
                  <c:v>1.05</c:v>
                </c:pt>
                <c:pt idx="117">
                  <c:v>1.05</c:v>
                </c:pt>
                <c:pt idx="118">
                  <c:v>0.95</c:v>
                </c:pt>
                <c:pt idx="119">
                  <c:v>1.05</c:v>
                </c:pt>
                <c:pt idx="120">
                  <c:v>1.1399999999999999</c:v>
                </c:pt>
                <c:pt idx="121">
                  <c:v>1.05</c:v>
                </c:pt>
                <c:pt idx="122">
                  <c:v>1.05</c:v>
                </c:pt>
                <c:pt idx="123">
                  <c:v>0.86</c:v>
                </c:pt>
                <c:pt idx="124">
                  <c:v>0.86</c:v>
                </c:pt>
                <c:pt idx="125">
                  <c:v>0.95</c:v>
                </c:pt>
                <c:pt idx="126">
                  <c:v>1.1399999999999999</c:v>
                </c:pt>
                <c:pt idx="127">
                  <c:v>1.05</c:v>
                </c:pt>
                <c:pt idx="128">
                  <c:v>1.05</c:v>
                </c:pt>
                <c:pt idx="129">
                  <c:v>1.1399999999999999</c:v>
                </c:pt>
                <c:pt idx="130">
                  <c:v>0.86</c:v>
                </c:pt>
                <c:pt idx="131">
                  <c:v>0.86</c:v>
                </c:pt>
                <c:pt idx="132">
                  <c:v>1.1399999999999999</c:v>
                </c:pt>
                <c:pt idx="133">
                  <c:v>1.05</c:v>
                </c:pt>
                <c:pt idx="134">
                  <c:v>1.05</c:v>
                </c:pt>
                <c:pt idx="135">
                  <c:v>0.76</c:v>
                </c:pt>
                <c:pt idx="136">
                  <c:v>1.05</c:v>
                </c:pt>
                <c:pt idx="137">
                  <c:v>1.05</c:v>
                </c:pt>
                <c:pt idx="138">
                  <c:v>0.86</c:v>
                </c:pt>
                <c:pt idx="139">
                  <c:v>0.95</c:v>
                </c:pt>
                <c:pt idx="140">
                  <c:v>0.86</c:v>
                </c:pt>
                <c:pt idx="141">
                  <c:v>0.95</c:v>
                </c:pt>
                <c:pt idx="142">
                  <c:v>1.1399999999999999</c:v>
                </c:pt>
                <c:pt idx="143">
                  <c:v>1.05</c:v>
                </c:pt>
                <c:pt idx="144">
                  <c:v>1.05</c:v>
                </c:pt>
                <c:pt idx="145">
                  <c:v>0.95</c:v>
                </c:pt>
                <c:pt idx="146">
                  <c:v>1.1399999999999999</c:v>
                </c:pt>
                <c:pt idx="147">
                  <c:v>1.05</c:v>
                </c:pt>
                <c:pt idx="148">
                  <c:v>0.95</c:v>
                </c:pt>
                <c:pt idx="149">
                  <c:v>1.1399999999999999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75-4341-BDE6-F1B09ED4D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49103"/>
        <c:axId val="16637423"/>
      </c:scatterChart>
      <c:valAx>
        <c:axId val="212749103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7423"/>
        <c:crosses val="autoZero"/>
        <c:crossBetween val="midCat"/>
        <c:majorUnit val="5"/>
      </c:valAx>
      <c:valAx>
        <c:axId val="16637423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Slip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4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%Slip at 40 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'750 Pieces'!$A$768:$A$917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xVal>
          <c:yVal>
            <c:numRef>
              <c:f>'750 Pieces'!$F$768:$F$917</c:f>
              <c:numCache>
                <c:formatCode>General</c:formatCode>
                <c:ptCount val="150"/>
                <c:pt idx="0">
                  <c:v>1.42</c:v>
                </c:pt>
                <c:pt idx="1">
                  <c:v>1.17</c:v>
                </c:pt>
                <c:pt idx="2">
                  <c:v>1.25</c:v>
                </c:pt>
                <c:pt idx="3">
                  <c:v>1.17</c:v>
                </c:pt>
                <c:pt idx="4">
                  <c:v>1.25</c:v>
                </c:pt>
                <c:pt idx="5">
                  <c:v>0.92</c:v>
                </c:pt>
                <c:pt idx="6">
                  <c:v>1</c:v>
                </c:pt>
                <c:pt idx="7">
                  <c:v>0.83</c:v>
                </c:pt>
                <c:pt idx="8">
                  <c:v>1</c:v>
                </c:pt>
                <c:pt idx="9">
                  <c:v>1.17</c:v>
                </c:pt>
                <c:pt idx="10">
                  <c:v>1</c:v>
                </c:pt>
                <c:pt idx="11">
                  <c:v>1</c:v>
                </c:pt>
                <c:pt idx="12">
                  <c:v>1.08</c:v>
                </c:pt>
                <c:pt idx="13">
                  <c:v>1</c:v>
                </c:pt>
                <c:pt idx="14">
                  <c:v>1.08</c:v>
                </c:pt>
                <c:pt idx="15">
                  <c:v>0.92</c:v>
                </c:pt>
                <c:pt idx="16">
                  <c:v>1</c:v>
                </c:pt>
                <c:pt idx="17">
                  <c:v>0.92</c:v>
                </c:pt>
                <c:pt idx="18">
                  <c:v>1</c:v>
                </c:pt>
                <c:pt idx="19">
                  <c:v>0.75</c:v>
                </c:pt>
                <c:pt idx="20">
                  <c:v>0.83</c:v>
                </c:pt>
                <c:pt idx="21">
                  <c:v>1</c:v>
                </c:pt>
                <c:pt idx="22">
                  <c:v>0.92</c:v>
                </c:pt>
                <c:pt idx="23">
                  <c:v>0.92</c:v>
                </c:pt>
                <c:pt idx="24">
                  <c:v>0.67</c:v>
                </c:pt>
                <c:pt idx="25">
                  <c:v>1.17</c:v>
                </c:pt>
                <c:pt idx="26">
                  <c:v>0.83</c:v>
                </c:pt>
                <c:pt idx="27">
                  <c:v>0.92</c:v>
                </c:pt>
                <c:pt idx="28">
                  <c:v>0.92</c:v>
                </c:pt>
                <c:pt idx="29">
                  <c:v>1</c:v>
                </c:pt>
                <c:pt idx="30">
                  <c:v>0.83</c:v>
                </c:pt>
                <c:pt idx="31">
                  <c:v>0.92</c:v>
                </c:pt>
                <c:pt idx="32">
                  <c:v>0.92</c:v>
                </c:pt>
                <c:pt idx="33">
                  <c:v>1</c:v>
                </c:pt>
                <c:pt idx="34">
                  <c:v>1</c:v>
                </c:pt>
                <c:pt idx="35">
                  <c:v>0.75</c:v>
                </c:pt>
                <c:pt idx="36">
                  <c:v>0.92</c:v>
                </c:pt>
                <c:pt idx="37">
                  <c:v>0.83</c:v>
                </c:pt>
                <c:pt idx="38">
                  <c:v>1</c:v>
                </c:pt>
                <c:pt idx="39">
                  <c:v>0.83</c:v>
                </c:pt>
                <c:pt idx="40">
                  <c:v>0.75</c:v>
                </c:pt>
                <c:pt idx="41">
                  <c:v>1</c:v>
                </c:pt>
                <c:pt idx="42">
                  <c:v>0.83</c:v>
                </c:pt>
                <c:pt idx="43">
                  <c:v>1</c:v>
                </c:pt>
                <c:pt idx="44">
                  <c:v>1.17</c:v>
                </c:pt>
                <c:pt idx="45">
                  <c:v>1</c:v>
                </c:pt>
                <c:pt idx="46">
                  <c:v>0.83</c:v>
                </c:pt>
                <c:pt idx="47">
                  <c:v>0.75</c:v>
                </c:pt>
                <c:pt idx="48">
                  <c:v>0.83</c:v>
                </c:pt>
                <c:pt idx="49">
                  <c:v>1.08</c:v>
                </c:pt>
                <c:pt idx="50">
                  <c:v>1.08</c:v>
                </c:pt>
                <c:pt idx="51">
                  <c:v>0.75</c:v>
                </c:pt>
                <c:pt idx="52">
                  <c:v>0.75</c:v>
                </c:pt>
                <c:pt idx="53">
                  <c:v>0.67</c:v>
                </c:pt>
                <c:pt idx="54">
                  <c:v>0.92</c:v>
                </c:pt>
                <c:pt idx="55">
                  <c:v>0.75</c:v>
                </c:pt>
                <c:pt idx="56">
                  <c:v>0.92</c:v>
                </c:pt>
                <c:pt idx="57">
                  <c:v>0.92</c:v>
                </c:pt>
                <c:pt idx="58">
                  <c:v>0.75</c:v>
                </c:pt>
                <c:pt idx="59">
                  <c:v>0.92</c:v>
                </c:pt>
                <c:pt idx="60">
                  <c:v>0.92</c:v>
                </c:pt>
                <c:pt idx="61">
                  <c:v>0.75</c:v>
                </c:pt>
                <c:pt idx="62">
                  <c:v>0.83</c:v>
                </c:pt>
                <c:pt idx="63">
                  <c:v>0.67</c:v>
                </c:pt>
                <c:pt idx="64">
                  <c:v>0.75</c:v>
                </c:pt>
                <c:pt idx="65">
                  <c:v>0.75</c:v>
                </c:pt>
                <c:pt idx="66">
                  <c:v>0.83</c:v>
                </c:pt>
                <c:pt idx="67">
                  <c:v>0.83</c:v>
                </c:pt>
                <c:pt idx="68">
                  <c:v>1.08</c:v>
                </c:pt>
                <c:pt idx="69">
                  <c:v>0.75</c:v>
                </c:pt>
                <c:pt idx="70">
                  <c:v>0.92</c:v>
                </c:pt>
                <c:pt idx="71">
                  <c:v>0.92</c:v>
                </c:pt>
                <c:pt idx="72">
                  <c:v>0.67</c:v>
                </c:pt>
                <c:pt idx="73">
                  <c:v>0.83</c:v>
                </c:pt>
                <c:pt idx="74">
                  <c:v>0.75</c:v>
                </c:pt>
                <c:pt idx="75">
                  <c:v>0.83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0.67</c:v>
                </c:pt>
                <c:pt idx="80">
                  <c:v>0.67</c:v>
                </c:pt>
                <c:pt idx="81">
                  <c:v>0.83</c:v>
                </c:pt>
                <c:pt idx="82">
                  <c:v>0.75</c:v>
                </c:pt>
                <c:pt idx="83">
                  <c:v>0.67</c:v>
                </c:pt>
                <c:pt idx="84">
                  <c:v>0.75</c:v>
                </c:pt>
                <c:pt idx="85">
                  <c:v>0.67</c:v>
                </c:pt>
                <c:pt idx="86">
                  <c:v>0.67</c:v>
                </c:pt>
                <c:pt idx="87">
                  <c:v>0.75</c:v>
                </c:pt>
                <c:pt idx="88">
                  <c:v>0.92</c:v>
                </c:pt>
                <c:pt idx="89">
                  <c:v>0.5</c:v>
                </c:pt>
                <c:pt idx="90">
                  <c:v>0.75</c:v>
                </c:pt>
                <c:pt idx="91">
                  <c:v>0.67</c:v>
                </c:pt>
                <c:pt idx="92">
                  <c:v>0.92</c:v>
                </c:pt>
                <c:pt idx="93">
                  <c:v>0.57999999999999996</c:v>
                </c:pt>
                <c:pt idx="94">
                  <c:v>0.75</c:v>
                </c:pt>
                <c:pt idx="95">
                  <c:v>0.83</c:v>
                </c:pt>
                <c:pt idx="96">
                  <c:v>0.67</c:v>
                </c:pt>
                <c:pt idx="97">
                  <c:v>0.83</c:v>
                </c:pt>
                <c:pt idx="98">
                  <c:v>0.83</c:v>
                </c:pt>
                <c:pt idx="99">
                  <c:v>0.67</c:v>
                </c:pt>
                <c:pt idx="100">
                  <c:v>1</c:v>
                </c:pt>
                <c:pt idx="101">
                  <c:v>0.67</c:v>
                </c:pt>
                <c:pt idx="102">
                  <c:v>0.75</c:v>
                </c:pt>
                <c:pt idx="103">
                  <c:v>0.83</c:v>
                </c:pt>
                <c:pt idx="104">
                  <c:v>0.92</c:v>
                </c:pt>
                <c:pt idx="105">
                  <c:v>0.75</c:v>
                </c:pt>
                <c:pt idx="106">
                  <c:v>0.83</c:v>
                </c:pt>
                <c:pt idx="107">
                  <c:v>0.83</c:v>
                </c:pt>
                <c:pt idx="108">
                  <c:v>0.92</c:v>
                </c:pt>
                <c:pt idx="109">
                  <c:v>0.92</c:v>
                </c:pt>
                <c:pt idx="110">
                  <c:v>0.92</c:v>
                </c:pt>
                <c:pt idx="111">
                  <c:v>0.92</c:v>
                </c:pt>
                <c:pt idx="112">
                  <c:v>0.75</c:v>
                </c:pt>
                <c:pt idx="113">
                  <c:v>0.92</c:v>
                </c:pt>
                <c:pt idx="114">
                  <c:v>0.92</c:v>
                </c:pt>
                <c:pt idx="115">
                  <c:v>0.92</c:v>
                </c:pt>
                <c:pt idx="116">
                  <c:v>0.92</c:v>
                </c:pt>
                <c:pt idx="117">
                  <c:v>0.75</c:v>
                </c:pt>
                <c:pt idx="118">
                  <c:v>0.75</c:v>
                </c:pt>
                <c:pt idx="119">
                  <c:v>0.83</c:v>
                </c:pt>
                <c:pt idx="120">
                  <c:v>0.75</c:v>
                </c:pt>
                <c:pt idx="121">
                  <c:v>1</c:v>
                </c:pt>
                <c:pt idx="122">
                  <c:v>0.75</c:v>
                </c:pt>
                <c:pt idx="123">
                  <c:v>1</c:v>
                </c:pt>
                <c:pt idx="124">
                  <c:v>0.83</c:v>
                </c:pt>
                <c:pt idx="125">
                  <c:v>0.67</c:v>
                </c:pt>
                <c:pt idx="126">
                  <c:v>0.83</c:v>
                </c:pt>
                <c:pt idx="127">
                  <c:v>0.92</c:v>
                </c:pt>
                <c:pt idx="128">
                  <c:v>0.67</c:v>
                </c:pt>
                <c:pt idx="129">
                  <c:v>0.92</c:v>
                </c:pt>
                <c:pt idx="130">
                  <c:v>0.75</c:v>
                </c:pt>
                <c:pt idx="131">
                  <c:v>0.92</c:v>
                </c:pt>
                <c:pt idx="132">
                  <c:v>0.75</c:v>
                </c:pt>
                <c:pt idx="133">
                  <c:v>0.67</c:v>
                </c:pt>
                <c:pt idx="134">
                  <c:v>0.83</c:v>
                </c:pt>
                <c:pt idx="135">
                  <c:v>0.75</c:v>
                </c:pt>
                <c:pt idx="136">
                  <c:v>0.5</c:v>
                </c:pt>
                <c:pt idx="137">
                  <c:v>0.83</c:v>
                </c:pt>
                <c:pt idx="138">
                  <c:v>0.67</c:v>
                </c:pt>
                <c:pt idx="139">
                  <c:v>0.67</c:v>
                </c:pt>
                <c:pt idx="140">
                  <c:v>1.08</c:v>
                </c:pt>
                <c:pt idx="141">
                  <c:v>0.67</c:v>
                </c:pt>
                <c:pt idx="142">
                  <c:v>1</c:v>
                </c:pt>
                <c:pt idx="143">
                  <c:v>0.75</c:v>
                </c:pt>
                <c:pt idx="144">
                  <c:v>1</c:v>
                </c:pt>
                <c:pt idx="145">
                  <c:v>0.67</c:v>
                </c:pt>
                <c:pt idx="146">
                  <c:v>0.83</c:v>
                </c:pt>
                <c:pt idx="147">
                  <c:v>0.67</c:v>
                </c:pt>
                <c:pt idx="148">
                  <c:v>0.57999999999999996</c:v>
                </c:pt>
                <c:pt idx="149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02-4729-A6F4-393CC43E6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49103"/>
        <c:axId val="16637423"/>
      </c:scatterChart>
      <c:valAx>
        <c:axId val="212749103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7423"/>
        <c:crosses val="autoZero"/>
        <c:crossBetween val="midCat"/>
        <c:majorUnit val="5"/>
      </c:valAx>
      <c:valAx>
        <c:axId val="16637423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Slip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4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% Slip Comparison at 20-40 Hz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 Hz</c:v>
          </c:tx>
          <c:spPr>
            <a:ln w="19050" cap="rnd">
              <a:solidFill>
                <a:schemeClr val="tx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'750 Pieces'!$A$768:$A$917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xVal>
          <c:yVal>
            <c:numRef>
              <c:f>'750 Pieces'!$B$768:$B$917</c:f>
              <c:numCache>
                <c:formatCode>General</c:formatCode>
                <c:ptCount val="150"/>
                <c:pt idx="0">
                  <c:v>2.5</c:v>
                </c:pt>
                <c:pt idx="1">
                  <c:v>2.17</c:v>
                </c:pt>
                <c:pt idx="2">
                  <c:v>2.5</c:v>
                </c:pt>
                <c:pt idx="3">
                  <c:v>2.33</c:v>
                </c:pt>
                <c:pt idx="4">
                  <c:v>2.17</c:v>
                </c:pt>
                <c:pt idx="5">
                  <c:v>2.17</c:v>
                </c:pt>
                <c:pt idx="6">
                  <c:v>2.17</c:v>
                </c:pt>
                <c:pt idx="7">
                  <c:v>2.33</c:v>
                </c:pt>
                <c:pt idx="8">
                  <c:v>2.33</c:v>
                </c:pt>
                <c:pt idx="9">
                  <c:v>2.17</c:v>
                </c:pt>
                <c:pt idx="10">
                  <c:v>1.83</c:v>
                </c:pt>
                <c:pt idx="11">
                  <c:v>2.33</c:v>
                </c:pt>
                <c:pt idx="12">
                  <c:v>2.33</c:v>
                </c:pt>
                <c:pt idx="13">
                  <c:v>2.17</c:v>
                </c:pt>
                <c:pt idx="14">
                  <c:v>2.17</c:v>
                </c:pt>
                <c:pt idx="15">
                  <c:v>2.17</c:v>
                </c:pt>
                <c:pt idx="16">
                  <c:v>2.33</c:v>
                </c:pt>
                <c:pt idx="17">
                  <c:v>1.83</c:v>
                </c:pt>
                <c:pt idx="18">
                  <c:v>2.33</c:v>
                </c:pt>
                <c:pt idx="19">
                  <c:v>2.33</c:v>
                </c:pt>
                <c:pt idx="20">
                  <c:v>2.33</c:v>
                </c:pt>
                <c:pt idx="21">
                  <c:v>2.33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2.17</c:v>
                </c:pt>
                <c:pt idx="26">
                  <c:v>1.83</c:v>
                </c:pt>
                <c:pt idx="27">
                  <c:v>2</c:v>
                </c:pt>
                <c:pt idx="28">
                  <c:v>2.33</c:v>
                </c:pt>
                <c:pt idx="29">
                  <c:v>2.17</c:v>
                </c:pt>
                <c:pt idx="30">
                  <c:v>1.67</c:v>
                </c:pt>
                <c:pt idx="31">
                  <c:v>1.83</c:v>
                </c:pt>
                <c:pt idx="32">
                  <c:v>1.83</c:v>
                </c:pt>
                <c:pt idx="33">
                  <c:v>2</c:v>
                </c:pt>
                <c:pt idx="34">
                  <c:v>1.67</c:v>
                </c:pt>
                <c:pt idx="35">
                  <c:v>2.33</c:v>
                </c:pt>
                <c:pt idx="36">
                  <c:v>1.83</c:v>
                </c:pt>
                <c:pt idx="37">
                  <c:v>2</c:v>
                </c:pt>
                <c:pt idx="38">
                  <c:v>2.33</c:v>
                </c:pt>
                <c:pt idx="39">
                  <c:v>2.33</c:v>
                </c:pt>
                <c:pt idx="40">
                  <c:v>2</c:v>
                </c:pt>
                <c:pt idx="41">
                  <c:v>1.83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1.83</c:v>
                </c:pt>
                <c:pt idx="46">
                  <c:v>2</c:v>
                </c:pt>
                <c:pt idx="47">
                  <c:v>1.83</c:v>
                </c:pt>
                <c:pt idx="48">
                  <c:v>2.17</c:v>
                </c:pt>
                <c:pt idx="49">
                  <c:v>1.83</c:v>
                </c:pt>
                <c:pt idx="50">
                  <c:v>2.67</c:v>
                </c:pt>
                <c:pt idx="51">
                  <c:v>2.17</c:v>
                </c:pt>
                <c:pt idx="52">
                  <c:v>2</c:v>
                </c:pt>
                <c:pt idx="53">
                  <c:v>2.33</c:v>
                </c:pt>
                <c:pt idx="54">
                  <c:v>2.33</c:v>
                </c:pt>
                <c:pt idx="55">
                  <c:v>2.5</c:v>
                </c:pt>
                <c:pt idx="56">
                  <c:v>2.33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2.17</c:v>
                </c:pt>
                <c:pt idx="65">
                  <c:v>2.33</c:v>
                </c:pt>
                <c:pt idx="66">
                  <c:v>2.33</c:v>
                </c:pt>
                <c:pt idx="67">
                  <c:v>2.33</c:v>
                </c:pt>
                <c:pt idx="68">
                  <c:v>2.33</c:v>
                </c:pt>
                <c:pt idx="69">
                  <c:v>2</c:v>
                </c:pt>
                <c:pt idx="70">
                  <c:v>2.33</c:v>
                </c:pt>
                <c:pt idx="71">
                  <c:v>2.33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2.17</c:v>
                </c:pt>
                <c:pt idx="76">
                  <c:v>1.83</c:v>
                </c:pt>
                <c:pt idx="77">
                  <c:v>2</c:v>
                </c:pt>
                <c:pt idx="78">
                  <c:v>2.33</c:v>
                </c:pt>
                <c:pt idx="79">
                  <c:v>2.17</c:v>
                </c:pt>
                <c:pt idx="80">
                  <c:v>1.67</c:v>
                </c:pt>
                <c:pt idx="81">
                  <c:v>1.83</c:v>
                </c:pt>
                <c:pt idx="82">
                  <c:v>1.83</c:v>
                </c:pt>
                <c:pt idx="83">
                  <c:v>2</c:v>
                </c:pt>
                <c:pt idx="84">
                  <c:v>1.67</c:v>
                </c:pt>
                <c:pt idx="85">
                  <c:v>2.33</c:v>
                </c:pt>
                <c:pt idx="86">
                  <c:v>1.83</c:v>
                </c:pt>
                <c:pt idx="87">
                  <c:v>2</c:v>
                </c:pt>
                <c:pt idx="88">
                  <c:v>2.33</c:v>
                </c:pt>
                <c:pt idx="89">
                  <c:v>2.33</c:v>
                </c:pt>
                <c:pt idx="90">
                  <c:v>2</c:v>
                </c:pt>
                <c:pt idx="91">
                  <c:v>1.83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1.83</c:v>
                </c:pt>
                <c:pt idx="96">
                  <c:v>2</c:v>
                </c:pt>
                <c:pt idx="97">
                  <c:v>1.83</c:v>
                </c:pt>
                <c:pt idx="98">
                  <c:v>2.17</c:v>
                </c:pt>
                <c:pt idx="99">
                  <c:v>1.83</c:v>
                </c:pt>
                <c:pt idx="100">
                  <c:v>2.5</c:v>
                </c:pt>
                <c:pt idx="101">
                  <c:v>2.17</c:v>
                </c:pt>
                <c:pt idx="102">
                  <c:v>2.5</c:v>
                </c:pt>
                <c:pt idx="103">
                  <c:v>2.33</c:v>
                </c:pt>
                <c:pt idx="104">
                  <c:v>2.17</c:v>
                </c:pt>
                <c:pt idx="105">
                  <c:v>2.17</c:v>
                </c:pt>
                <c:pt idx="106">
                  <c:v>2.17</c:v>
                </c:pt>
                <c:pt idx="107">
                  <c:v>2.33</c:v>
                </c:pt>
                <c:pt idx="108">
                  <c:v>2.33</c:v>
                </c:pt>
                <c:pt idx="109">
                  <c:v>2.17</c:v>
                </c:pt>
                <c:pt idx="110">
                  <c:v>1.83</c:v>
                </c:pt>
                <c:pt idx="111">
                  <c:v>2.33</c:v>
                </c:pt>
                <c:pt idx="112">
                  <c:v>2.33</c:v>
                </c:pt>
                <c:pt idx="113">
                  <c:v>2.17</c:v>
                </c:pt>
                <c:pt idx="114">
                  <c:v>2.17</c:v>
                </c:pt>
                <c:pt idx="115">
                  <c:v>2.17</c:v>
                </c:pt>
                <c:pt idx="116">
                  <c:v>2.33</c:v>
                </c:pt>
                <c:pt idx="117">
                  <c:v>1.83</c:v>
                </c:pt>
                <c:pt idx="118">
                  <c:v>2.33</c:v>
                </c:pt>
                <c:pt idx="119">
                  <c:v>2.33</c:v>
                </c:pt>
                <c:pt idx="120">
                  <c:v>2.17</c:v>
                </c:pt>
                <c:pt idx="121">
                  <c:v>2</c:v>
                </c:pt>
                <c:pt idx="122">
                  <c:v>2.33</c:v>
                </c:pt>
                <c:pt idx="123">
                  <c:v>2.33</c:v>
                </c:pt>
                <c:pt idx="124">
                  <c:v>2</c:v>
                </c:pt>
                <c:pt idx="125">
                  <c:v>2.5</c:v>
                </c:pt>
                <c:pt idx="126">
                  <c:v>2.17</c:v>
                </c:pt>
                <c:pt idx="127">
                  <c:v>2</c:v>
                </c:pt>
                <c:pt idx="128">
                  <c:v>2.33</c:v>
                </c:pt>
                <c:pt idx="129">
                  <c:v>2.5</c:v>
                </c:pt>
                <c:pt idx="130">
                  <c:v>2</c:v>
                </c:pt>
                <c:pt idx="131">
                  <c:v>2.33</c:v>
                </c:pt>
                <c:pt idx="132">
                  <c:v>2</c:v>
                </c:pt>
                <c:pt idx="133">
                  <c:v>2.5</c:v>
                </c:pt>
                <c:pt idx="134">
                  <c:v>2.5</c:v>
                </c:pt>
                <c:pt idx="135">
                  <c:v>2.33</c:v>
                </c:pt>
                <c:pt idx="136">
                  <c:v>2.17</c:v>
                </c:pt>
                <c:pt idx="137">
                  <c:v>2</c:v>
                </c:pt>
                <c:pt idx="138">
                  <c:v>2.33</c:v>
                </c:pt>
                <c:pt idx="139">
                  <c:v>2.33</c:v>
                </c:pt>
                <c:pt idx="140">
                  <c:v>2.17</c:v>
                </c:pt>
                <c:pt idx="141">
                  <c:v>2.33</c:v>
                </c:pt>
                <c:pt idx="142">
                  <c:v>2.33</c:v>
                </c:pt>
                <c:pt idx="143">
                  <c:v>2.5</c:v>
                </c:pt>
                <c:pt idx="144">
                  <c:v>2.5</c:v>
                </c:pt>
                <c:pt idx="145">
                  <c:v>2.33</c:v>
                </c:pt>
                <c:pt idx="146">
                  <c:v>1.83</c:v>
                </c:pt>
                <c:pt idx="147">
                  <c:v>2.17</c:v>
                </c:pt>
                <c:pt idx="148">
                  <c:v>2.33</c:v>
                </c:pt>
                <c:pt idx="149">
                  <c:v>2.17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A6-494D-B77C-CFA874566635}"/>
            </c:ext>
          </c:extLst>
        </c:ser>
        <c:ser>
          <c:idx val="1"/>
          <c:order val="1"/>
          <c:tx>
            <c:v>25 Hz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'750 Pieces'!$A$768:$A$917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xVal>
          <c:yVal>
            <c:numRef>
              <c:f>'750 Pieces'!$C$768:$C$917</c:f>
              <c:numCache>
                <c:formatCode>General</c:formatCode>
                <c:ptCount val="150"/>
                <c:pt idx="0">
                  <c:v>1.87</c:v>
                </c:pt>
                <c:pt idx="1">
                  <c:v>1.73</c:v>
                </c:pt>
                <c:pt idx="2">
                  <c:v>1.73</c:v>
                </c:pt>
                <c:pt idx="3">
                  <c:v>1.6</c:v>
                </c:pt>
                <c:pt idx="4">
                  <c:v>2</c:v>
                </c:pt>
                <c:pt idx="5">
                  <c:v>1.87</c:v>
                </c:pt>
                <c:pt idx="6">
                  <c:v>2</c:v>
                </c:pt>
                <c:pt idx="7">
                  <c:v>1.73</c:v>
                </c:pt>
                <c:pt idx="8">
                  <c:v>1.87</c:v>
                </c:pt>
                <c:pt idx="9">
                  <c:v>2</c:v>
                </c:pt>
                <c:pt idx="10">
                  <c:v>1.73</c:v>
                </c:pt>
                <c:pt idx="11">
                  <c:v>2</c:v>
                </c:pt>
                <c:pt idx="12">
                  <c:v>1.6</c:v>
                </c:pt>
                <c:pt idx="13">
                  <c:v>1.73</c:v>
                </c:pt>
                <c:pt idx="14">
                  <c:v>1.6</c:v>
                </c:pt>
                <c:pt idx="15">
                  <c:v>1.6</c:v>
                </c:pt>
                <c:pt idx="16">
                  <c:v>1.73</c:v>
                </c:pt>
                <c:pt idx="17">
                  <c:v>1.6</c:v>
                </c:pt>
                <c:pt idx="18">
                  <c:v>1.87</c:v>
                </c:pt>
                <c:pt idx="19">
                  <c:v>1.6</c:v>
                </c:pt>
                <c:pt idx="20">
                  <c:v>1.73</c:v>
                </c:pt>
                <c:pt idx="21">
                  <c:v>1.6</c:v>
                </c:pt>
                <c:pt idx="22">
                  <c:v>1.73</c:v>
                </c:pt>
                <c:pt idx="23">
                  <c:v>1.87</c:v>
                </c:pt>
                <c:pt idx="24">
                  <c:v>1.6</c:v>
                </c:pt>
                <c:pt idx="25">
                  <c:v>1.47</c:v>
                </c:pt>
                <c:pt idx="26">
                  <c:v>1.2</c:v>
                </c:pt>
                <c:pt idx="27">
                  <c:v>1.47</c:v>
                </c:pt>
                <c:pt idx="28">
                  <c:v>1.6</c:v>
                </c:pt>
                <c:pt idx="29">
                  <c:v>1.47</c:v>
                </c:pt>
                <c:pt idx="30">
                  <c:v>1.47</c:v>
                </c:pt>
                <c:pt idx="31">
                  <c:v>1.47</c:v>
                </c:pt>
                <c:pt idx="32">
                  <c:v>1.47</c:v>
                </c:pt>
                <c:pt idx="33">
                  <c:v>1.6</c:v>
                </c:pt>
                <c:pt idx="34">
                  <c:v>1.47</c:v>
                </c:pt>
                <c:pt idx="35">
                  <c:v>1.47</c:v>
                </c:pt>
                <c:pt idx="36">
                  <c:v>1.47</c:v>
                </c:pt>
                <c:pt idx="37">
                  <c:v>1.47</c:v>
                </c:pt>
                <c:pt idx="38">
                  <c:v>1.73</c:v>
                </c:pt>
                <c:pt idx="39">
                  <c:v>1.6</c:v>
                </c:pt>
                <c:pt idx="40">
                  <c:v>1.2</c:v>
                </c:pt>
                <c:pt idx="41">
                  <c:v>1.47</c:v>
                </c:pt>
                <c:pt idx="42">
                  <c:v>1.33</c:v>
                </c:pt>
                <c:pt idx="43">
                  <c:v>1.33</c:v>
                </c:pt>
                <c:pt idx="44">
                  <c:v>1.47</c:v>
                </c:pt>
                <c:pt idx="45">
                  <c:v>1.6</c:v>
                </c:pt>
                <c:pt idx="46">
                  <c:v>1.2</c:v>
                </c:pt>
                <c:pt idx="47">
                  <c:v>1.33</c:v>
                </c:pt>
                <c:pt idx="48">
                  <c:v>1.47</c:v>
                </c:pt>
                <c:pt idx="49">
                  <c:v>1.47</c:v>
                </c:pt>
                <c:pt idx="50">
                  <c:v>1.6</c:v>
                </c:pt>
                <c:pt idx="51">
                  <c:v>1.47</c:v>
                </c:pt>
                <c:pt idx="52">
                  <c:v>1.47</c:v>
                </c:pt>
                <c:pt idx="53">
                  <c:v>1.47</c:v>
                </c:pt>
                <c:pt idx="54">
                  <c:v>1.73</c:v>
                </c:pt>
                <c:pt idx="55">
                  <c:v>1.6</c:v>
                </c:pt>
                <c:pt idx="56">
                  <c:v>1.6</c:v>
                </c:pt>
                <c:pt idx="57">
                  <c:v>1.6</c:v>
                </c:pt>
                <c:pt idx="58">
                  <c:v>1.6</c:v>
                </c:pt>
                <c:pt idx="59">
                  <c:v>1.6</c:v>
                </c:pt>
                <c:pt idx="60">
                  <c:v>1.33</c:v>
                </c:pt>
                <c:pt idx="61">
                  <c:v>1.47</c:v>
                </c:pt>
                <c:pt idx="62">
                  <c:v>1.6</c:v>
                </c:pt>
                <c:pt idx="63">
                  <c:v>1.6</c:v>
                </c:pt>
                <c:pt idx="64">
                  <c:v>1.47</c:v>
                </c:pt>
                <c:pt idx="65">
                  <c:v>1.6</c:v>
                </c:pt>
                <c:pt idx="66">
                  <c:v>1.6</c:v>
                </c:pt>
                <c:pt idx="67">
                  <c:v>1.47</c:v>
                </c:pt>
                <c:pt idx="68">
                  <c:v>1.6</c:v>
                </c:pt>
                <c:pt idx="69">
                  <c:v>1.6</c:v>
                </c:pt>
                <c:pt idx="70">
                  <c:v>1.6</c:v>
                </c:pt>
                <c:pt idx="71">
                  <c:v>1.47</c:v>
                </c:pt>
                <c:pt idx="72">
                  <c:v>1.33</c:v>
                </c:pt>
                <c:pt idx="73">
                  <c:v>1.87</c:v>
                </c:pt>
                <c:pt idx="74">
                  <c:v>1.47</c:v>
                </c:pt>
                <c:pt idx="75">
                  <c:v>1.47</c:v>
                </c:pt>
                <c:pt idx="76">
                  <c:v>1.2</c:v>
                </c:pt>
                <c:pt idx="77">
                  <c:v>1.47</c:v>
                </c:pt>
                <c:pt idx="78">
                  <c:v>1.6</c:v>
                </c:pt>
                <c:pt idx="79">
                  <c:v>1.47</c:v>
                </c:pt>
                <c:pt idx="80">
                  <c:v>1.47</c:v>
                </c:pt>
                <c:pt idx="81">
                  <c:v>1.47</c:v>
                </c:pt>
                <c:pt idx="82">
                  <c:v>1.47</c:v>
                </c:pt>
                <c:pt idx="83">
                  <c:v>1.6</c:v>
                </c:pt>
                <c:pt idx="84">
                  <c:v>1.47</c:v>
                </c:pt>
                <c:pt idx="85">
                  <c:v>1.47</c:v>
                </c:pt>
                <c:pt idx="86">
                  <c:v>1.47</c:v>
                </c:pt>
                <c:pt idx="87">
                  <c:v>1.47</c:v>
                </c:pt>
                <c:pt idx="88">
                  <c:v>1.73</c:v>
                </c:pt>
                <c:pt idx="89">
                  <c:v>1.6</c:v>
                </c:pt>
                <c:pt idx="90">
                  <c:v>1.2</c:v>
                </c:pt>
                <c:pt idx="91">
                  <c:v>1.47</c:v>
                </c:pt>
                <c:pt idx="92">
                  <c:v>1.33</c:v>
                </c:pt>
                <c:pt idx="93">
                  <c:v>1.33</c:v>
                </c:pt>
                <c:pt idx="94">
                  <c:v>1.47</c:v>
                </c:pt>
                <c:pt idx="95">
                  <c:v>1.6</c:v>
                </c:pt>
                <c:pt idx="96">
                  <c:v>1.2</c:v>
                </c:pt>
                <c:pt idx="97">
                  <c:v>1.33</c:v>
                </c:pt>
                <c:pt idx="98">
                  <c:v>1.47</c:v>
                </c:pt>
                <c:pt idx="99">
                  <c:v>1.47</c:v>
                </c:pt>
                <c:pt idx="100">
                  <c:v>1.87</c:v>
                </c:pt>
                <c:pt idx="101">
                  <c:v>1.73</c:v>
                </c:pt>
                <c:pt idx="102">
                  <c:v>1.73</c:v>
                </c:pt>
                <c:pt idx="103">
                  <c:v>1.6</c:v>
                </c:pt>
                <c:pt idx="104">
                  <c:v>2</c:v>
                </c:pt>
                <c:pt idx="105">
                  <c:v>1.87</c:v>
                </c:pt>
                <c:pt idx="106">
                  <c:v>2</c:v>
                </c:pt>
                <c:pt idx="107">
                  <c:v>1.73</c:v>
                </c:pt>
                <c:pt idx="108">
                  <c:v>1.87</c:v>
                </c:pt>
                <c:pt idx="109">
                  <c:v>2</c:v>
                </c:pt>
                <c:pt idx="110">
                  <c:v>1.73</c:v>
                </c:pt>
                <c:pt idx="111">
                  <c:v>2</c:v>
                </c:pt>
                <c:pt idx="112">
                  <c:v>1.6</c:v>
                </c:pt>
                <c:pt idx="113">
                  <c:v>1.73</c:v>
                </c:pt>
                <c:pt idx="114">
                  <c:v>1.6</c:v>
                </c:pt>
                <c:pt idx="115">
                  <c:v>1.6</c:v>
                </c:pt>
                <c:pt idx="116">
                  <c:v>1.73</c:v>
                </c:pt>
                <c:pt idx="117">
                  <c:v>1.6</c:v>
                </c:pt>
                <c:pt idx="118">
                  <c:v>1.87</c:v>
                </c:pt>
                <c:pt idx="119">
                  <c:v>1.6</c:v>
                </c:pt>
                <c:pt idx="120">
                  <c:v>1.73</c:v>
                </c:pt>
                <c:pt idx="121">
                  <c:v>1.6</c:v>
                </c:pt>
                <c:pt idx="122">
                  <c:v>1.73</c:v>
                </c:pt>
                <c:pt idx="123">
                  <c:v>1.87</c:v>
                </c:pt>
                <c:pt idx="124">
                  <c:v>1.6</c:v>
                </c:pt>
                <c:pt idx="125">
                  <c:v>1.87</c:v>
                </c:pt>
                <c:pt idx="126">
                  <c:v>1.73</c:v>
                </c:pt>
                <c:pt idx="127">
                  <c:v>1.6</c:v>
                </c:pt>
                <c:pt idx="128">
                  <c:v>1.87</c:v>
                </c:pt>
                <c:pt idx="129">
                  <c:v>2</c:v>
                </c:pt>
                <c:pt idx="130">
                  <c:v>1.87</c:v>
                </c:pt>
                <c:pt idx="131">
                  <c:v>1.6</c:v>
                </c:pt>
                <c:pt idx="132">
                  <c:v>1.6</c:v>
                </c:pt>
                <c:pt idx="133">
                  <c:v>1.73</c:v>
                </c:pt>
                <c:pt idx="134">
                  <c:v>1.87</c:v>
                </c:pt>
                <c:pt idx="135">
                  <c:v>1.73</c:v>
                </c:pt>
                <c:pt idx="136">
                  <c:v>1.87</c:v>
                </c:pt>
                <c:pt idx="137">
                  <c:v>2</c:v>
                </c:pt>
                <c:pt idx="138">
                  <c:v>1.47</c:v>
                </c:pt>
                <c:pt idx="139">
                  <c:v>1.87</c:v>
                </c:pt>
                <c:pt idx="140">
                  <c:v>1.87</c:v>
                </c:pt>
                <c:pt idx="141">
                  <c:v>1.87</c:v>
                </c:pt>
                <c:pt idx="142">
                  <c:v>1.73</c:v>
                </c:pt>
                <c:pt idx="143">
                  <c:v>1.6</c:v>
                </c:pt>
                <c:pt idx="144">
                  <c:v>1.6</c:v>
                </c:pt>
                <c:pt idx="145">
                  <c:v>1.87</c:v>
                </c:pt>
                <c:pt idx="146">
                  <c:v>1.87</c:v>
                </c:pt>
                <c:pt idx="147">
                  <c:v>1.73</c:v>
                </c:pt>
                <c:pt idx="148">
                  <c:v>1.6</c:v>
                </c:pt>
                <c:pt idx="149">
                  <c:v>1.87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A6-494D-B77C-CFA874566635}"/>
            </c:ext>
          </c:extLst>
        </c:ser>
        <c:ser>
          <c:idx val="2"/>
          <c:order val="2"/>
          <c:tx>
            <c:v>30 Hz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'750 Pieces'!$A$768:$A$917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xVal>
          <c:yVal>
            <c:numRef>
              <c:f>'750 Pieces'!$D$768:$D$917</c:f>
              <c:numCache>
                <c:formatCode>General</c:formatCode>
                <c:ptCount val="150"/>
                <c:pt idx="0">
                  <c:v>1.1100000000000001</c:v>
                </c:pt>
                <c:pt idx="1">
                  <c:v>1</c:v>
                </c:pt>
                <c:pt idx="2">
                  <c:v>1.22</c:v>
                </c:pt>
                <c:pt idx="3">
                  <c:v>1.33</c:v>
                </c:pt>
                <c:pt idx="4">
                  <c:v>1.22</c:v>
                </c:pt>
                <c:pt idx="5">
                  <c:v>1.22</c:v>
                </c:pt>
                <c:pt idx="6">
                  <c:v>1.22</c:v>
                </c:pt>
                <c:pt idx="7">
                  <c:v>1</c:v>
                </c:pt>
                <c:pt idx="8">
                  <c:v>1.22</c:v>
                </c:pt>
                <c:pt idx="9">
                  <c:v>1.1100000000000001</c:v>
                </c:pt>
                <c:pt idx="10">
                  <c:v>1.22</c:v>
                </c:pt>
                <c:pt idx="11">
                  <c:v>1.22</c:v>
                </c:pt>
                <c:pt idx="12">
                  <c:v>0.89</c:v>
                </c:pt>
                <c:pt idx="13">
                  <c:v>1</c:v>
                </c:pt>
                <c:pt idx="14">
                  <c:v>1.1100000000000001</c:v>
                </c:pt>
                <c:pt idx="15">
                  <c:v>1.1100000000000001</c:v>
                </c:pt>
                <c:pt idx="16">
                  <c:v>1</c:v>
                </c:pt>
                <c:pt idx="17">
                  <c:v>1</c:v>
                </c:pt>
                <c:pt idx="18">
                  <c:v>1.22</c:v>
                </c:pt>
                <c:pt idx="19">
                  <c:v>1</c:v>
                </c:pt>
                <c:pt idx="20">
                  <c:v>1.22</c:v>
                </c:pt>
                <c:pt idx="21">
                  <c:v>1</c:v>
                </c:pt>
                <c:pt idx="22">
                  <c:v>1</c:v>
                </c:pt>
                <c:pt idx="23">
                  <c:v>1.22</c:v>
                </c:pt>
                <c:pt idx="24">
                  <c:v>1.33</c:v>
                </c:pt>
                <c:pt idx="25">
                  <c:v>1.22</c:v>
                </c:pt>
                <c:pt idx="26">
                  <c:v>1.33</c:v>
                </c:pt>
                <c:pt idx="27">
                  <c:v>1.33</c:v>
                </c:pt>
                <c:pt idx="28">
                  <c:v>1.22</c:v>
                </c:pt>
                <c:pt idx="29">
                  <c:v>1.22</c:v>
                </c:pt>
                <c:pt idx="30">
                  <c:v>1.22</c:v>
                </c:pt>
                <c:pt idx="31">
                  <c:v>1.33</c:v>
                </c:pt>
                <c:pt idx="32">
                  <c:v>1.22</c:v>
                </c:pt>
                <c:pt idx="33">
                  <c:v>1.33</c:v>
                </c:pt>
                <c:pt idx="34">
                  <c:v>1.33</c:v>
                </c:pt>
                <c:pt idx="35">
                  <c:v>1</c:v>
                </c:pt>
                <c:pt idx="36">
                  <c:v>1.33</c:v>
                </c:pt>
                <c:pt idx="37">
                  <c:v>1.56</c:v>
                </c:pt>
                <c:pt idx="38">
                  <c:v>1.33</c:v>
                </c:pt>
                <c:pt idx="39">
                  <c:v>1.33</c:v>
                </c:pt>
                <c:pt idx="40">
                  <c:v>1.56</c:v>
                </c:pt>
                <c:pt idx="41">
                  <c:v>1.1100000000000001</c:v>
                </c:pt>
                <c:pt idx="42">
                  <c:v>1.56</c:v>
                </c:pt>
                <c:pt idx="43">
                  <c:v>1.56</c:v>
                </c:pt>
                <c:pt idx="44">
                  <c:v>1.22</c:v>
                </c:pt>
                <c:pt idx="45">
                  <c:v>1.44</c:v>
                </c:pt>
                <c:pt idx="46">
                  <c:v>1.22</c:v>
                </c:pt>
                <c:pt idx="47">
                  <c:v>1.22</c:v>
                </c:pt>
                <c:pt idx="48">
                  <c:v>1.56</c:v>
                </c:pt>
                <c:pt idx="49">
                  <c:v>1.33</c:v>
                </c:pt>
                <c:pt idx="50">
                  <c:v>1.1100000000000001</c:v>
                </c:pt>
                <c:pt idx="51">
                  <c:v>1</c:v>
                </c:pt>
                <c:pt idx="52">
                  <c:v>1.22</c:v>
                </c:pt>
                <c:pt idx="53">
                  <c:v>1.33</c:v>
                </c:pt>
                <c:pt idx="54">
                  <c:v>1.22</c:v>
                </c:pt>
                <c:pt idx="55">
                  <c:v>1.22</c:v>
                </c:pt>
                <c:pt idx="56">
                  <c:v>1.22</c:v>
                </c:pt>
                <c:pt idx="57">
                  <c:v>1</c:v>
                </c:pt>
                <c:pt idx="58">
                  <c:v>1.22</c:v>
                </c:pt>
                <c:pt idx="59">
                  <c:v>1.1100000000000001</c:v>
                </c:pt>
                <c:pt idx="60">
                  <c:v>1.22</c:v>
                </c:pt>
                <c:pt idx="61">
                  <c:v>1.22</c:v>
                </c:pt>
                <c:pt idx="62">
                  <c:v>0.89</c:v>
                </c:pt>
                <c:pt idx="63">
                  <c:v>1</c:v>
                </c:pt>
                <c:pt idx="64">
                  <c:v>1.1100000000000001</c:v>
                </c:pt>
                <c:pt idx="65">
                  <c:v>1.1100000000000001</c:v>
                </c:pt>
                <c:pt idx="66">
                  <c:v>1</c:v>
                </c:pt>
                <c:pt idx="67">
                  <c:v>1</c:v>
                </c:pt>
                <c:pt idx="68">
                  <c:v>1.22</c:v>
                </c:pt>
                <c:pt idx="69">
                  <c:v>1</c:v>
                </c:pt>
                <c:pt idx="70">
                  <c:v>1.22</c:v>
                </c:pt>
                <c:pt idx="71">
                  <c:v>1</c:v>
                </c:pt>
                <c:pt idx="72">
                  <c:v>1</c:v>
                </c:pt>
                <c:pt idx="73">
                  <c:v>1.22</c:v>
                </c:pt>
                <c:pt idx="74">
                  <c:v>1.1100000000000001</c:v>
                </c:pt>
                <c:pt idx="75">
                  <c:v>1.22</c:v>
                </c:pt>
                <c:pt idx="76">
                  <c:v>1</c:v>
                </c:pt>
                <c:pt idx="77">
                  <c:v>1.1100000000000001</c:v>
                </c:pt>
                <c:pt idx="78">
                  <c:v>1.1100000000000001</c:v>
                </c:pt>
                <c:pt idx="79">
                  <c:v>1.1100000000000001</c:v>
                </c:pt>
                <c:pt idx="80">
                  <c:v>1</c:v>
                </c:pt>
                <c:pt idx="81">
                  <c:v>1.1100000000000001</c:v>
                </c:pt>
                <c:pt idx="82">
                  <c:v>1.1100000000000001</c:v>
                </c:pt>
                <c:pt idx="83">
                  <c:v>1.22</c:v>
                </c:pt>
                <c:pt idx="84">
                  <c:v>1</c:v>
                </c:pt>
                <c:pt idx="85">
                  <c:v>1.1100000000000001</c:v>
                </c:pt>
                <c:pt idx="86">
                  <c:v>1.22</c:v>
                </c:pt>
                <c:pt idx="87">
                  <c:v>1.1100000000000001</c:v>
                </c:pt>
                <c:pt idx="88">
                  <c:v>1.1100000000000001</c:v>
                </c:pt>
                <c:pt idx="89">
                  <c:v>1.1100000000000001</c:v>
                </c:pt>
                <c:pt idx="90">
                  <c:v>0.89</c:v>
                </c:pt>
                <c:pt idx="91">
                  <c:v>1.33</c:v>
                </c:pt>
                <c:pt idx="92">
                  <c:v>1.1100000000000001</c:v>
                </c:pt>
                <c:pt idx="93">
                  <c:v>1.22</c:v>
                </c:pt>
                <c:pt idx="94">
                  <c:v>1.1100000000000001</c:v>
                </c:pt>
                <c:pt idx="95">
                  <c:v>1.1100000000000001</c:v>
                </c:pt>
                <c:pt idx="96">
                  <c:v>1</c:v>
                </c:pt>
                <c:pt idx="97">
                  <c:v>1.22</c:v>
                </c:pt>
                <c:pt idx="98">
                  <c:v>1.33</c:v>
                </c:pt>
                <c:pt idx="99">
                  <c:v>1.22</c:v>
                </c:pt>
                <c:pt idx="100">
                  <c:v>1.67</c:v>
                </c:pt>
                <c:pt idx="101">
                  <c:v>1.33</c:v>
                </c:pt>
                <c:pt idx="102">
                  <c:v>1.22</c:v>
                </c:pt>
                <c:pt idx="103">
                  <c:v>1.22</c:v>
                </c:pt>
                <c:pt idx="104">
                  <c:v>1.56</c:v>
                </c:pt>
                <c:pt idx="105">
                  <c:v>1.22</c:v>
                </c:pt>
                <c:pt idx="106">
                  <c:v>1.33</c:v>
                </c:pt>
                <c:pt idx="107">
                  <c:v>1.44</c:v>
                </c:pt>
                <c:pt idx="108">
                  <c:v>1.44</c:v>
                </c:pt>
                <c:pt idx="109">
                  <c:v>1.22</c:v>
                </c:pt>
                <c:pt idx="110">
                  <c:v>1.22</c:v>
                </c:pt>
                <c:pt idx="111">
                  <c:v>1.33</c:v>
                </c:pt>
                <c:pt idx="112">
                  <c:v>1.56</c:v>
                </c:pt>
                <c:pt idx="113">
                  <c:v>1.44</c:v>
                </c:pt>
                <c:pt idx="114">
                  <c:v>1.56</c:v>
                </c:pt>
                <c:pt idx="115">
                  <c:v>1.33</c:v>
                </c:pt>
                <c:pt idx="116">
                  <c:v>1.33</c:v>
                </c:pt>
                <c:pt idx="117">
                  <c:v>1.22</c:v>
                </c:pt>
                <c:pt idx="118">
                  <c:v>1.22</c:v>
                </c:pt>
                <c:pt idx="119">
                  <c:v>1</c:v>
                </c:pt>
                <c:pt idx="120">
                  <c:v>1.33</c:v>
                </c:pt>
                <c:pt idx="121">
                  <c:v>1.67</c:v>
                </c:pt>
                <c:pt idx="122">
                  <c:v>1.33</c:v>
                </c:pt>
                <c:pt idx="123">
                  <c:v>1.33</c:v>
                </c:pt>
                <c:pt idx="124">
                  <c:v>1.33</c:v>
                </c:pt>
                <c:pt idx="125">
                  <c:v>1.22</c:v>
                </c:pt>
                <c:pt idx="126">
                  <c:v>1.33</c:v>
                </c:pt>
                <c:pt idx="127">
                  <c:v>1.33</c:v>
                </c:pt>
                <c:pt idx="128">
                  <c:v>1.22</c:v>
                </c:pt>
                <c:pt idx="129">
                  <c:v>1.22</c:v>
                </c:pt>
                <c:pt idx="130">
                  <c:v>1.22</c:v>
                </c:pt>
                <c:pt idx="131">
                  <c:v>1.33</c:v>
                </c:pt>
                <c:pt idx="132">
                  <c:v>1.22</c:v>
                </c:pt>
                <c:pt idx="133">
                  <c:v>1.33</c:v>
                </c:pt>
                <c:pt idx="134">
                  <c:v>1.33</c:v>
                </c:pt>
                <c:pt idx="135">
                  <c:v>1</c:v>
                </c:pt>
                <c:pt idx="136">
                  <c:v>1.33</c:v>
                </c:pt>
                <c:pt idx="137">
                  <c:v>1.56</c:v>
                </c:pt>
                <c:pt idx="138">
                  <c:v>1.33</c:v>
                </c:pt>
                <c:pt idx="139">
                  <c:v>1.33</c:v>
                </c:pt>
                <c:pt idx="140">
                  <c:v>1.56</c:v>
                </c:pt>
                <c:pt idx="141">
                  <c:v>1.1100000000000001</c:v>
                </c:pt>
                <c:pt idx="142">
                  <c:v>1.56</c:v>
                </c:pt>
                <c:pt idx="143">
                  <c:v>1.56</c:v>
                </c:pt>
                <c:pt idx="144">
                  <c:v>1.22</c:v>
                </c:pt>
                <c:pt idx="145">
                  <c:v>1.44</c:v>
                </c:pt>
                <c:pt idx="146">
                  <c:v>1.22</c:v>
                </c:pt>
                <c:pt idx="147">
                  <c:v>1.22</c:v>
                </c:pt>
                <c:pt idx="148">
                  <c:v>1.56</c:v>
                </c:pt>
                <c:pt idx="149">
                  <c:v>1.33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A6-494D-B77C-CFA874566635}"/>
            </c:ext>
          </c:extLst>
        </c:ser>
        <c:ser>
          <c:idx val="3"/>
          <c:order val="3"/>
          <c:tx>
            <c:v>35 Hz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'750 Pieces'!$A$768:$A$917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xVal>
          <c:yVal>
            <c:numRef>
              <c:f>'750 Pieces'!$E$768:$E$917</c:f>
              <c:numCache>
                <c:formatCode>General</c:formatCode>
                <c:ptCount val="150"/>
                <c:pt idx="0">
                  <c:v>1.33</c:v>
                </c:pt>
                <c:pt idx="1">
                  <c:v>1.33</c:v>
                </c:pt>
                <c:pt idx="2">
                  <c:v>1.05</c:v>
                </c:pt>
                <c:pt idx="3">
                  <c:v>0.95</c:v>
                </c:pt>
                <c:pt idx="4">
                  <c:v>1.1399999999999999</c:v>
                </c:pt>
                <c:pt idx="5">
                  <c:v>1.05</c:v>
                </c:pt>
                <c:pt idx="6">
                  <c:v>0.86</c:v>
                </c:pt>
                <c:pt idx="7">
                  <c:v>0.76</c:v>
                </c:pt>
                <c:pt idx="8">
                  <c:v>1.05</c:v>
                </c:pt>
                <c:pt idx="9">
                  <c:v>0.95</c:v>
                </c:pt>
                <c:pt idx="10">
                  <c:v>1.05</c:v>
                </c:pt>
                <c:pt idx="11">
                  <c:v>0.86</c:v>
                </c:pt>
                <c:pt idx="12">
                  <c:v>1.05</c:v>
                </c:pt>
                <c:pt idx="13">
                  <c:v>0.86</c:v>
                </c:pt>
                <c:pt idx="14">
                  <c:v>0.86</c:v>
                </c:pt>
                <c:pt idx="15">
                  <c:v>1.24</c:v>
                </c:pt>
                <c:pt idx="16">
                  <c:v>0.95</c:v>
                </c:pt>
                <c:pt idx="17">
                  <c:v>0.86</c:v>
                </c:pt>
                <c:pt idx="18">
                  <c:v>0.86</c:v>
                </c:pt>
                <c:pt idx="19">
                  <c:v>1.1399999999999999</c:v>
                </c:pt>
                <c:pt idx="20">
                  <c:v>0.86</c:v>
                </c:pt>
                <c:pt idx="21">
                  <c:v>1.05</c:v>
                </c:pt>
                <c:pt idx="22">
                  <c:v>1.1399999999999999</c:v>
                </c:pt>
                <c:pt idx="23">
                  <c:v>1.05</c:v>
                </c:pt>
                <c:pt idx="24">
                  <c:v>0.86</c:v>
                </c:pt>
                <c:pt idx="25">
                  <c:v>1.05</c:v>
                </c:pt>
                <c:pt idx="26">
                  <c:v>0.86</c:v>
                </c:pt>
                <c:pt idx="27">
                  <c:v>0.76</c:v>
                </c:pt>
                <c:pt idx="28">
                  <c:v>0.86</c:v>
                </c:pt>
                <c:pt idx="29">
                  <c:v>1.1399999999999999</c:v>
                </c:pt>
                <c:pt idx="30">
                  <c:v>0.86</c:v>
                </c:pt>
                <c:pt idx="31">
                  <c:v>0.86</c:v>
                </c:pt>
                <c:pt idx="32">
                  <c:v>1.1399999999999999</c:v>
                </c:pt>
                <c:pt idx="33">
                  <c:v>1.05</c:v>
                </c:pt>
                <c:pt idx="34">
                  <c:v>1.05</c:v>
                </c:pt>
                <c:pt idx="35">
                  <c:v>0.76</c:v>
                </c:pt>
                <c:pt idx="36">
                  <c:v>1.05</c:v>
                </c:pt>
                <c:pt idx="37">
                  <c:v>1.05</c:v>
                </c:pt>
                <c:pt idx="38">
                  <c:v>0.86</c:v>
                </c:pt>
                <c:pt idx="39">
                  <c:v>0.95</c:v>
                </c:pt>
                <c:pt idx="40">
                  <c:v>0.86</c:v>
                </c:pt>
                <c:pt idx="41">
                  <c:v>0.95</c:v>
                </c:pt>
                <c:pt idx="42">
                  <c:v>1.1399999999999999</c:v>
                </c:pt>
                <c:pt idx="43">
                  <c:v>1.05</c:v>
                </c:pt>
                <c:pt idx="44">
                  <c:v>1.05</c:v>
                </c:pt>
                <c:pt idx="45">
                  <c:v>0.95</c:v>
                </c:pt>
                <c:pt idx="46">
                  <c:v>1.1399999999999999</c:v>
                </c:pt>
                <c:pt idx="47">
                  <c:v>1.05</c:v>
                </c:pt>
                <c:pt idx="48">
                  <c:v>0.95</c:v>
                </c:pt>
                <c:pt idx="49">
                  <c:v>1.1399999999999999</c:v>
                </c:pt>
                <c:pt idx="50">
                  <c:v>1.33</c:v>
                </c:pt>
                <c:pt idx="51">
                  <c:v>1.33</c:v>
                </c:pt>
                <c:pt idx="52">
                  <c:v>1.05</c:v>
                </c:pt>
                <c:pt idx="53">
                  <c:v>0.95</c:v>
                </c:pt>
                <c:pt idx="54">
                  <c:v>1.1399999999999999</c:v>
                </c:pt>
                <c:pt idx="55">
                  <c:v>1.05</c:v>
                </c:pt>
                <c:pt idx="56">
                  <c:v>0.86</c:v>
                </c:pt>
                <c:pt idx="57">
                  <c:v>0.76</c:v>
                </c:pt>
                <c:pt idx="58">
                  <c:v>1.05</c:v>
                </c:pt>
                <c:pt idx="59">
                  <c:v>0.95</c:v>
                </c:pt>
                <c:pt idx="60">
                  <c:v>1.05</c:v>
                </c:pt>
                <c:pt idx="61">
                  <c:v>0.86</c:v>
                </c:pt>
                <c:pt idx="62">
                  <c:v>1.05</c:v>
                </c:pt>
                <c:pt idx="63">
                  <c:v>0.86</c:v>
                </c:pt>
                <c:pt idx="64">
                  <c:v>0.86</c:v>
                </c:pt>
                <c:pt idx="65">
                  <c:v>1.24</c:v>
                </c:pt>
                <c:pt idx="66">
                  <c:v>0.95</c:v>
                </c:pt>
                <c:pt idx="67">
                  <c:v>0.86</c:v>
                </c:pt>
                <c:pt idx="68">
                  <c:v>0.86</c:v>
                </c:pt>
                <c:pt idx="69">
                  <c:v>1.1399999999999999</c:v>
                </c:pt>
                <c:pt idx="70">
                  <c:v>0.86</c:v>
                </c:pt>
                <c:pt idx="71">
                  <c:v>1.05</c:v>
                </c:pt>
                <c:pt idx="72">
                  <c:v>1.1399999999999999</c:v>
                </c:pt>
                <c:pt idx="73">
                  <c:v>1.05</c:v>
                </c:pt>
                <c:pt idx="74">
                  <c:v>0.86</c:v>
                </c:pt>
                <c:pt idx="75">
                  <c:v>1.05</c:v>
                </c:pt>
                <c:pt idx="76">
                  <c:v>0.86</c:v>
                </c:pt>
                <c:pt idx="77">
                  <c:v>0.76</c:v>
                </c:pt>
                <c:pt idx="78">
                  <c:v>0.86</c:v>
                </c:pt>
                <c:pt idx="79">
                  <c:v>1.05</c:v>
                </c:pt>
                <c:pt idx="80">
                  <c:v>0.76</c:v>
                </c:pt>
                <c:pt idx="81">
                  <c:v>1.1399999999999999</c:v>
                </c:pt>
                <c:pt idx="82">
                  <c:v>0.76</c:v>
                </c:pt>
                <c:pt idx="83">
                  <c:v>1.1399999999999999</c:v>
                </c:pt>
                <c:pt idx="84">
                  <c:v>0.86</c:v>
                </c:pt>
                <c:pt idx="85">
                  <c:v>1.1399999999999999</c:v>
                </c:pt>
                <c:pt idx="86">
                  <c:v>0.95</c:v>
                </c:pt>
                <c:pt idx="87">
                  <c:v>0.86</c:v>
                </c:pt>
                <c:pt idx="88">
                  <c:v>0.86</c:v>
                </c:pt>
                <c:pt idx="89">
                  <c:v>0.95</c:v>
                </c:pt>
                <c:pt idx="90">
                  <c:v>1.1399999999999999</c:v>
                </c:pt>
                <c:pt idx="91">
                  <c:v>0.76</c:v>
                </c:pt>
                <c:pt idx="92">
                  <c:v>1.05</c:v>
                </c:pt>
                <c:pt idx="93">
                  <c:v>1.05</c:v>
                </c:pt>
                <c:pt idx="94">
                  <c:v>1.05</c:v>
                </c:pt>
                <c:pt idx="95">
                  <c:v>0.86</c:v>
                </c:pt>
                <c:pt idx="96">
                  <c:v>0.76</c:v>
                </c:pt>
                <c:pt idx="97">
                  <c:v>0.76</c:v>
                </c:pt>
                <c:pt idx="98">
                  <c:v>0.95</c:v>
                </c:pt>
                <c:pt idx="99">
                  <c:v>1.05</c:v>
                </c:pt>
                <c:pt idx="100">
                  <c:v>0.86</c:v>
                </c:pt>
                <c:pt idx="101">
                  <c:v>0.86</c:v>
                </c:pt>
                <c:pt idx="102">
                  <c:v>1.05</c:v>
                </c:pt>
                <c:pt idx="103">
                  <c:v>1.1399999999999999</c:v>
                </c:pt>
                <c:pt idx="104">
                  <c:v>1.05</c:v>
                </c:pt>
                <c:pt idx="105">
                  <c:v>1.05</c:v>
                </c:pt>
                <c:pt idx="106">
                  <c:v>0.86</c:v>
                </c:pt>
                <c:pt idx="107">
                  <c:v>1.1399999999999999</c:v>
                </c:pt>
                <c:pt idx="108">
                  <c:v>0.95</c:v>
                </c:pt>
                <c:pt idx="109">
                  <c:v>0.95</c:v>
                </c:pt>
                <c:pt idx="110">
                  <c:v>0.76</c:v>
                </c:pt>
                <c:pt idx="111">
                  <c:v>0.95</c:v>
                </c:pt>
                <c:pt idx="112">
                  <c:v>0.86</c:v>
                </c:pt>
                <c:pt idx="113">
                  <c:v>0.86</c:v>
                </c:pt>
                <c:pt idx="114">
                  <c:v>0.95</c:v>
                </c:pt>
                <c:pt idx="115">
                  <c:v>1.05</c:v>
                </c:pt>
                <c:pt idx="116">
                  <c:v>1.05</c:v>
                </c:pt>
                <c:pt idx="117">
                  <c:v>1.05</c:v>
                </c:pt>
                <c:pt idx="118">
                  <c:v>0.95</c:v>
                </c:pt>
                <c:pt idx="119">
                  <c:v>1.05</c:v>
                </c:pt>
                <c:pt idx="120">
                  <c:v>1.1399999999999999</c:v>
                </c:pt>
                <c:pt idx="121">
                  <c:v>1.05</c:v>
                </c:pt>
                <c:pt idx="122">
                  <c:v>1.05</c:v>
                </c:pt>
                <c:pt idx="123">
                  <c:v>0.86</c:v>
                </c:pt>
                <c:pt idx="124">
                  <c:v>0.86</c:v>
                </c:pt>
                <c:pt idx="125">
                  <c:v>0.95</c:v>
                </c:pt>
                <c:pt idx="126">
                  <c:v>1.1399999999999999</c:v>
                </c:pt>
                <c:pt idx="127">
                  <c:v>1.05</c:v>
                </c:pt>
                <c:pt idx="128">
                  <c:v>1.05</c:v>
                </c:pt>
                <c:pt idx="129">
                  <c:v>1.1399999999999999</c:v>
                </c:pt>
                <c:pt idx="130">
                  <c:v>0.86</c:v>
                </c:pt>
                <c:pt idx="131">
                  <c:v>0.86</c:v>
                </c:pt>
                <c:pt idx="132">
                  <c:v>1.1399999999999999</c:v>
                </c:pt>
                <c:pt idx="133">
                  <c:v>1.05</c:v>
                </c:pt>
                <c:pt idx="134">
                  <c:v>1.05</c:v>
                </c:pt>
                <c:pt idx="135">
                  <c:v>0.76</c:v>
                </c:pt>
                <c:pt idx="136">
                  <c:v>1.05</c:v>
                </c:pt>
                <c:pt idx="137">
                  <c:v>1.05</c:v>
                </c:pt>
                <c:pt idx="138">
                  <c:v>0.86</c:v>
                </c:pt>
                <c:pt idx="139">
                  <c:v>0.95</c:v>
                </c:pt>
                <c:pt idx="140">
                  <c:v>0.86</c:v>
                </c:pt>
                <c:pt idx="141">
                  <c:v>0.95</c:v>
                </c:pt>
                <c:pt idx="142">
                  <c:v>1.1399999999999999</c:v>
                </c:pt>
                <c:pt idx="143">
                  <c:v>1.05</c:v>
                </c:pt>
                <c:pt idx="144">
                  <c:v>1.05</c:v>
                </c:pt>
                <c:pt idx="145">
                  <c:v>0.95</c:v>
                </c:pt>
                <c:pt idx="146">
                  <c:v>1.1399999999999999</c:v>
                </c:pt>
                <c:pt idx="147">
                  <c:v>1.05</c:v>
                </c:pt>
                <c:pt idx="148">
                  <c:v>0.95</c:v>
                </c:pt>
                <c:pt idx="149">
                  <c:v>1.1399999999999999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A6-494D-B77C-CFA874566635}"/>
            </c:ext>
          </c:extLst>
        </c:ser>
        <c:ser>
          <c:idx val="4"/>
          <c:order val="4"/>
          <c:tx>
            <c:v>40 Hz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'750 Pieces'!$A$768:$A$917</c:f>
              <c:numCache>
                <c:formatCode>General</c:formatCode>
                <c:ptCount val="1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</c:numCache>
            </c:numRef>
          </c:xVal>
          <c:yVal>
            <c:numRef>
              <c:f>'750 Pieces'!$F$768:$F$917</c:f>
              <c:numCache>
                <c:formatCode>General</c:formatCode>
                <c:ptCount val="150"/>
                <c:pt idx="0">
                  <c:v>1.42</c:v>
                </c:pt>
                <c:pt idx="1">
                  <c:v>1.17</c:v>
                </c:pt>
                <c:pt idx="2">
                  <c:v>1.25</c:v>
                </c:pt>
                <c:pt idx="3">
                  <c:v>1.17</c:v>
                </c:pt>
                <c:pt idx="4">
                  <c:v>1.25</c:v>
                </c:pt>
                <c:pt idx="5">
                  <c:v>0.92</c:v>
                </c:pt>
                <c:pt idx="6">
                  <c:v>1</c:v>
                </c:pt>
                <c:pt idx="7">
                  <c:v>0.83</c:v>
                </c:pt>
                <c:pt idx="8">
                  <c:v>1</c:v>
                </c:pt>
                <c:pt idx="9">
                  <c:v>1.17</c:v>
                </c:pt>
                <c:pt idx="10">
                  <c:v>1</c:v>
                </c:pt>
                <c:pt idx="11">
                  <c:v>1</c:v>
                </c:pt>
                <c:pt idx="12">
                  <c:v>1.08</c:v>
                </c:pt>
                <c:pt idx="13">
                  <c:v>1</c:v>
                </c:pt>
                <c:pt idx="14">
                  <c:v>1.08</c:v>
                </c:pt>
                <c:pt idx="15">
                  <c:v>0.92</c:v>
                </c:pt>
                <c:pt idx="16">
                  <c:v>1</c:v>
                </c:pt>
                <c:pt idx="17">
                  <c:v>0.92</c:v>
                </c:pt>
                <c:pt idx="18">
                  <c:v>1</c:v>
                </c:pt>
                <c:pt idx="19">
                  <c:v>0.75</c:v>
                </c:pt>
                <c:pt idx="20">
                  <c:v>0.83</c:v>
                </c:pt>
                <c:pt idx="21">
                  <c:v>1</c:v>
                </c:pt>
                <c:pt idx="22">
                  <c:v>0.92</c:v>
                </c:pt>
                <c:pt idx="23">
                  <c:v>0.92</c:v>
                </c:pt>
                <c:pt idx="24">
                  <c:v>0.67</c:v>
                </c:pt>
                <c:pt idx="25">
                  <c:v>1.17</c:v>
                </c:pt>
                <c:pt idx="26">
                  <c:v>0.83</c:v>
                </c:pt>
                <c:pt idx="27">
                  <c:v>0.92</c:v>
                </c:pt>
                <c:pt idx="28">
                  <c:v>0.92</c:v>
                </c:pt>
                <c:pt idx="29">
                  <c:v>1</c:v>
                </c:pt>
                <c:pt idx="30">
                  <c:v>0.83</c:v>
                </c:pt>
                <c:pt idx="31">
                  <c:v>0.92</c:v>
                </c:pt>
                <c:pt idx="32">
                  <c:v>0.92</c:v>
                </c:pt>
                <c:pt idx="33">
                  <c:v>1</c:v>
                </c:pt>
                <c:pt idx="34">
                  <c:v>1</c:v>
                </c:pt>
                <c:pt idx="35">
                  <c:v>0.75</c:v>
                </c:pt>
                <c:pt idx="36">
                  <c:v>0.92</c:v>
                </c:pt>
                <c:pt idx="37">
                  <c:v>0.83</c:v>
                </c:pt>
                <c:pt idx="38">
                  <c:v>1</c:v>
                </c:pt>
                <c:pt idx="39">
                  <c:v>0.83</c:v>
                </c:pt>
                <c:pt idx="40">
                  <c:v>0.75</c:v>
                </c:pt>
                <c:pt idx="41">
                  <c:v>1</c:v>
                </c:pt>
                <c:pt idx="42">
                  <c:v>0.83</c:v>
                </c:pt>
                <c:pt idx="43">
                  <c:v>1</c:v>
                </c:pt>
                <c:pt idx="44">
                  <c:v>1.17</c:v>
                </c:pt>
                <c:pt idx="45">
                  <c:v>1</c:v>
                </c:pt>
                <c:pt idx="46">
                  <c:v>0.83</c:v>
                </c:pt>
                <c:pt idx="47">
                  <c:v>0.75</c:v>
                </c:pt>
                <c:pt idx="48">
                  <c:v>0.83</c:v>
                </c:pt>
                <c:pt idx="49">
                  <c:v>1.08</c:v>
                </c:pt>
                <c:pt idx="50">
                  <c:v>1.08</c:v>
                </c:pt>
                <c:pt idx="51">
                  <c:v>0.75</c:v>
                </c:pt>
                <c:pt idx="52">
                  <c:v>0.75</c:v>
                </c:pt>
                <c:pt idx="53">
                  <c:v>0.67</c:v>
                </c:pt>
                <c:pt idx="54">
                  <c:v>0.92</c:v>
                </c:pt>
                <c:pt idx="55">
                  <c:v>0.75</c:v>
                </c:pt>
                <c:pt idx="56">
                  <c:v>0.92</c:v>
                </c:pt>
                <c:pt idx="57">
                  <c:v>0.92</c:v>
                </c:pt>
                <c:pt idx="58">
                  <c:v>0.75</c:v>
                </c:pt>
                <c:pt idx="59">
                  <c:v>0.92</c:v>
                </c:pt>
                <c:pt idx="60">
                  <c:v>0.92</c:v>
                </c:pt>
                <c:pt idx="61">
                  <c:v>0.75</c:v>
                </c:pt>
                <c:pt idx="62">
                  <c:v>0.83</c:v>
                </c:pt>
                <c:pt idx="63">
                  <c:v>0.67</c:v>
                </c:pt>
                <c:pt idx="64">
                  <c:v>0.75</c:v>
                </c:pt>
                <c:pt idx="65">
                  <c:v>0.75</c:v>
                </c:pt>
                <c:pt idx="66">
                  <c:v>0.83</c:v>
                </c:pt>
                <c:pt idx="67">
                  <c:v>0.83</c:v>
                </c:pt>
                <c:pt idx="68">
                  <c:v>1.08</c:v>
                </c:pt>
                <c:pt idx="69">
                  <c:v>0.75</c:v>
                </c:pt>
                <c:pt idx="70">
                  <c:v>0.92</c:v>
                </c:pt>
                <c:pt idx="71">
                  <c:v>0.92</c:v>
                </c:pt>
                <c:pt idx="72">
                  <c:v>0.67</c:v>
                </c:pt>
                <c:pt idx="73">
                  <c:v>0.83</c:v>
                </c:pt>
                <c:pt idx="74">
                  <c:v>0.75</c:v>
                </c:pt>
                <c:pt idx="75">
                  <c:v>0.83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0.67</c:v>
                </c:pt>
                <c:pt idx="80">
                  <c:v>0.67</c:v>
                </c:pt>
                <c:pt idx="81">
                  <c:v>0.83</c:v>
                </c:pt>
                <c:pt idx="82">
                  <c:v>0.75</c:v>
                </c:pt>
                <c:pt idx="83">
                  <c:v>0.67</c:v>
                </c:pt>
                <c:pt idx="84">
                  <c:v>0.75</c:v>
                </c:pt>
                <c:pt idx="85">
                  <c:v>0.67</c:v>
                </c:pt>
                <c:pt idx="86">
                  <c:v>0.67</c:v>
                </c:pt>
                <c:pt idx="87">
                  <c:v>0.75</c:v>
                </c:pt>
                <c:pt idx="88">
                  <c:v>0.92</c:v>
                </c:pt>
                <c:pt idx="89">
                  <c:v>0.5</c:v>
                </c:pt>
                <c:pt idx="90">
                  <c:v>0.75</c:v>
                </c:pt>
                <c:pt idx="91">
                  <c:v>0.67</c:v>
                </c:pt>
                <c:pt idx="92">
                  <c:v>0.92</c:v>
                </c:pt>
                <c:pt idx="93">
                  <c:v>0.57999999999999996</c:v>
                </c:pt>
                <c:pt idx="94">
                  <c:v>0.75</c:v>
                </c:pt>
                <c:pt idx="95">
                  <c:v>0.83</c:v>
                </c:pt>
                <c:pt idx="96">
                  <c:v>0.67</c:v>
                </c:pt>
                <c:pt idx="97">
                  <c:v>0.83</c:v>
                </c:pt>
                <c:pt idx="98">
                  <c:v>0.83</c:v>
                </c:pt>
                <c:pt idx="99">
                  <c:v>0.67</c:v>
                </c:pt>
                <c:pt idx="100">
                  <c:v>1</c:v>
                </c:pt>
                <c:pt idx="101">
                  <c:v>0.67</c:v>
                </c:pt>
                <c:pt idx="102">
                  <c:v>0.75</c:v>
                </c:pt>
                <c:pt idx="103">
                  <c:v>0.83</c:v>
                </c:pt>
                <c:pt idx="104">
                  <c:v>0.92</c:v>
                </c:pt>
                <c:pt idx="105">
                  <c:v>0.75</c:v>
                </c:pt>
                <c:pt idx="106">
                  <c:v>0.83</c:v>
                </c:pt>
                <c:pt idx="107">
                  <c:v>0.83</c:v>
                </c:pt>
                <c:pt idx="108">
                  <c:v>0.92</c:v>
                </c:pt>
                <c:pt idx="109">
                  <c:v>0.92</c:v>
                </c:pt>
                <c:pt idx="110">
                  <c:v>0.92</c:v>
                </c:pt>
                <c:pt idx="111">
                  <c:v>0.92</c:v>
                </c:pt>
                <c:pt idx="112">
                  <c:v>0.75</c:v>
                </c:pt>
                <c:pt idx="113">
                  <c:v>0.92</c:v>
                </c:pt>
                <c:pt idx="114">
                  <c:v>0.92</c:v>
                </c:pt>
                <c:pt idx="115">
                  <c:v>0.92</c:v>
                </c:pt>
                <c:pt idx="116">
                  <c:v>0.92</c:v>
                </c:pt>
                <c:pt idx="117">
                  <c:v>0.75</c:v>
                </c:pt>
                <c:pt idx="118">
                  <c:v>0.75</c:v>
                </c:pt>
                <c:pt idx="119">
                  <c:v>0.83</c:v>
                </c:pt>
                <c:pt idx="120">
                  <c:v>0.75</c:v>
                </c:pt>
                <c:pt idx="121">
                  <c:v>1</c:v>
                </c:pt>
                <c:pt idx="122">
                  <c:v>0.75</c:v>
                </c:pt>
                <c:pt idx="123">
                  <c:v>1</c:v>
                </c:pt>
                <c:pt idx="124">
                  <c:v>0.83</c:v>
                </c:pt>
                <c:pt idx="125">
                  <c:v>0.67</c:v>
                </c:pt>
                <c:pt idx="126">
                  <c:v>0.83</c:v>
                </c:pt>
                <c:pt idx="127">
                  <c:v>0.92</c:v>
                </c:pt>
                <c:pt idx="128">
                  <c:v>0.67</c:v>
                </c:pt>
                <c:pt idx="129">
                  <c:v>0.92</c:v>
                </c:pt>
                <c:pt idx="130">
                  <c:v>0.75</c:v>
                </c:pt>
                <c:pt idx="131">
                  <c:v>0.92</c:v>
                </c:pt>
                <c:pt idx="132">
                  <c:v>0.75</c:v>
                </c:pt>
                <c:pt idx="133">
                  <c:v>0.67</c:v>
                </c:pt>
                <c:pt idx="134">
                  <c:v>0.83</c:v>
                </c:pt>
                <c:pt idx="135">
                  <c:v>0.75</c:v>
                </c:pt>
                <c:pt idx="136">
                  <c:v>0.5</c:v>
                </c:pt>
                <c:pt idx="137">
                  <c:v>0.83</c:v>
                </c:pt>
                <c:pt idx="138">
                  <c:v>0.67</c:v>
                </c:pt>
                <c:pt idx="139">
                  <c:v>0.67</c:v>
                </c:pt>
                <c:pt idx="140">
                  <c:v>1.08</c:v>
                </c:pt>
                <c:pt idx="141">
                  <c:v>0.67</c:v>
                </c:pt>
                <c:pt idx="142">
                  <c:v>1</c:v>
                </c:pt>
                <c:pt idx="143">
                  <c:v>0.75</c:v>
                </c:pt>
                <c:pt idx="144">
                  <c:v>1</c:v>
                </c:pt>
                <c:pt idx="145">
                  <c:v>0.67</c:v>
                </c:pt>
                <c:pt idx="146">
                  <c:v>0.83</c:v>
                </c:pt>
                <c:pt idx="147">
                  <c:v>0.67</c:v>
                </c:pt>
                <c:pt idx="148">
                  <c:v>0.57999999999999996</c:v>
                </c:pt>
                <c:pt idx="149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AA6-494D-B77C-CFA874566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49103"/>
        <c:axId val="16637423"/>
      </c:scatterChart>
      <c:valAx>
        <c:axId val="212749103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7423"/>
        <c:crosses val="autoZero"/>
        <c:crossBetween val="midCat"/>
        <c:majorUnit val="5"/>
      </c:valAx>
      <c:valAx>
        <c:axId val="16637423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Slip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4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Classification Accuracy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'750 Pieces'!$I$774:$J$774</c:f>
              <c:strCache>
                <c:ptCount val="2"/>
                <c:pt idx="0">
                  <c:v>Correct</c:v>
                </c:pt>
                <c:pt idx="1">
                  <c:v>Incorrect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00B050"/>
              </a:solidFill>
            </a:ln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62-4E21-B8E8-B1C0E74217F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762-4E21-B8E8-B1C0E74217F1}"/>
              </c:ext>
            </c:extLst>
          </c:dPt>
          <c:dLbls>
            <c:dLbl>
              <c:idx val="0"/>
              <c:layout>
                <c:manualLayout>
                  <c:x val="-3.818051929145698E-2"/>
                  <c:y val="-0.2018335598609593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9113687166579"/>
                      <c:h val="0.120445298323014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762-4E21-B8E8-B1C0E74217F1}"/>
                </c:ext>
              </c:extLst>
            </c:dLbl>
            <c:dLbl>
              <c:idx val="1"/>
              <c:layout>
                <c:manualLayout>
                  <c:x val="1.4910023292508795E-2"/>
                  <c:y val="9.27035719343220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62-4E21-B8E8-B1C0E74217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'750 Pieces'!$I$774:$J$774</c:f>
              <c:strCache>
                <c:ptCount val="2"/>
                <c:pt idx="0">
                  <c:v>Correct</c:v>
                </c:pt>
                <c:pt idx="1">
                  <c:v>Incorrect</c:v>
                </c:pt>
              </c:strCache>
            </c:strRef>
          </c:cat>
          <c:val>
            <c:numRef>
              <c:f>'750 Pieces'!$I$775:$J$775</c:f>
              <c:numCache>
                <c:formatCode>0.00%</c:formatCode>
                <c:ptCount val="2"/>
                <c:pt idx="0">
                  <c:v>0.96925133689839571</c:v>
                </c:pt>
                <c:pt idx="1">
                  <c:v>3.074866310160429E-2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2-4E21-B8E8-B1C0E7421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Results2!$A$17</c:f>
              <c:strCache>
                <c:ptCount val="1"/>
                <c:pt idx="0">
                  <c:v>ความถูกต้องในแต่ละระดับความถี่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'750 Pieces'!$H$768:$H$772</c:f>
              <c:numCache>
                <c:formatCode>General</c:formatCode>
                <c:ptCount val="5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</c:numCache>
            </c:numRef>
          </c:xVal>
          <c:yVal>
            <c:numRef>
              <c:f>'750 Pieces'!$I$768:$I$772</c:f>
              <c:numCache>
                <c:formatCode>0.00%</c:formatCode>
                <c:ptCount val="5"/>
                <c:pt idx="0">
                  <c:v>0.96666666666666667</c:v>
                </c:pt>
                <c:pt idx="1">
                  <c:v>0.97333333333333338</c:v>
                </c:pt>
                <c:pt idx="2">
                  <c:v>0.99333333333333329</c:v>
                </c:pt>
                <c:pt idx="3">
                  <c:v>0.98</c:v>
                </c:pt>
                <c:pt idx="4">
                  <c:v>0.93333333333333335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08-48D4-969B-FF57E8A25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211727"/>
        <c:axId val="812129551"/>
      </c:scatterChart>
      <c:valAx>
        <c:axId val="986211727"/>
        <c:scaling>
          <c:orientation val="minMax"/>
          <c:max val="4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</a:t>
                </a:r>
                <a:r>
                  <a:rPr lang="en-US" baseline="0"/>
                  <a:t> Frequency (Hz)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129551"/>
        <c:crosses val="autoZero"/>
        <c:crossBetween val="midCat"/>
        <c:majorUnit val="5"/>
      </c:valAx>
      <c:valAx>
        <c:axId val="81212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211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'Worthiness Results'!$F$1</c:f>
              <c:strCache>
                <c:ptCount val="1"/>
                <c:pt idx="0">
                  <c:v>กำลังการผลิตต่อวัน (ชิ้น/วัน)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B1B-4FD2-9A95-C8F1FD4BBD09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1B-4FD2-9A95-C8F1FD4BBD09}"/>
              </c:ext>
            </c:extLst>
          </c:dPt>
          <c:cat>
            <c:strRef>
              <c:f>'Worthiness Results'!$A$2:$A$3</c:f>
              <c:strCache>
                <c:ptCount val="2"/>
                <c:pt idx="0">
                  <c:v>แรงงานคน</c:v>
                </c:pt>
                <c:pt idx="1">
                  <c:v>ระบบอัตโนมัติ</c:v>
                </c:pt>
              </c:strCache>
            </c:strRef>
          </c:cat>
          <c:val>
            <c:numRef>
              <c:f>'Worthiness Results'!$F$2:$F$3</c:f>
              <c:numCache>
                <c:formatCode>0</c:formatCode>
                <c:ptCount val="2"/>
                <c:pt idx="0" formatCode="General">
                  <c:v>1440</c:v>
                </c:pt>
                <c:pt idx="1">
                  <c:v>2953.8461538461538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B-4FD2-9A95-C8F1FD4BB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8874256"/>
        <c:axId val="1636689680"/>
      </c:barChart>
      <c:catAx>
        <c:axId val="145887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689680"/>
        <c:crosses val="autoZero"/>
        <c:auto val="1"/>
        <c:lblAlgn val="ctr"/>
        <c:lblOffset val="100"/>
        <c:noMultiLvlLbl val="0"/>
      </c:catAx>
      <c:valAx>
        <c:axId val="16366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87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ระยะเวลาคืนทุน (ปี)</a:t>
            </a:r>
            <a:r>
              <a:rPr lang="en-US" sz="1400" b="0" i="0" u="none" strike="noStrike" baseline="0">
                <a:effectLst/>
              </a:rPr>
              <a:t> 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'Worthiness Results'!$F$1</c:f>
              <c:strCache>
                <c:ptCount val="1"/>
                <c:pt idx="0">
                  <c:v>กำลังการผลิตต่อวัน (ชิ้น/วัน)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A3-4989-8678-E90B2D9A80EC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A3-4989-8678-E90B2D9A80EC}"/>
              </c:ext>
            </c:extLst>
          </c:dPt>
          <c:cat>
            <c:strRef>
              <c:f>'Worthiness Results'!$A$2:$A$3</c:f>
              <c:strCache>
                <c:ptCount val="2"/>
                <c:pt idx="0">
                  <c:v>แรงงานคน</c:v>
                </c:pt>
                <c:pt idx="1">
                  <c:v>ระบบอัตโนมัติ</c:v>
                </c:pt>
              </c:strCache>
            </c:strRef>
          </c:cat>
          <c:val>
            <c:numRef>
              <c:f>'Worthiness Results'!$C$14:$C$15</c:f>
              <c:numCache>
                <c:formatCode>0.00</c:formatCode>
                <c:ptCount val="2"/>
                <c:pt idx="0">
                  <c:v>1.0958635472884246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A3-4989-8678-E90B2D9A8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8874256"/>
        <c:axId val="1636689680"/>
      </c:barChart>
      <c:catAx>
        <c:axId val="145887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689680"/>
        <c:crosses val="autoZero"/>
        <c:auto val="1"/>
        <c:lblAlgn val="ctr"/>
        <c:lblOffset val="100"/>
        <c:noMultiLvlLbl val="0"/>
      </c:catAx>
      <c:valAx>
        <c:axId val="16366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87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'Worthiness Results'!$C$54</c:f>
              <c:strCache>
                <c:ptCount val="1"/>
                <c:pt idx="0">
                  <c:v>กระแสเงินสะสม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'Worthiness Results'!$C$55:$C$60</c:f>
              <c:numCache>
                <c:formatCode>0</c:formatCode>
                <c:ptCount val="6"/>
                <c:pt idx="0" formatCode="General">
                  <c:v>-80670</c:v>
                </c:pt>
                <c:pt idx="1">
                  <c:v>-7057</c:v>
                </c:pt>
                <c:pt idx="2">
                  <c:v>66556</c:v>
                </c:pt>
                <c:pt idx="3">
                  <c:v>140169</c:v>
                </c:pt>
                <c:pt idx="4">
                  <c:v>213782</c:v>
                </c:pt>
                <c:pt idx="5">
                  <c:v>287395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79-4865-8479-E43340220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4052080"/>
        <c:axId val="1636687760"/>
      </c:lineChart>
      <c:catAx>
        <c:axId val="1694052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od-Thai-001"/>
                  <a:t>ระยะเวลา</a:t>
                </a:r>
                <a:r>
                  <a:rPr lang="nod-Thai-001" baseline="0"/>
                  <a:t> </a:t>
                </a:r>
                <a:r>
                  <a:rPr lang="en-US" baseline="0"/>
                  <a:t>(</a:t>
                </a:r>
                <a:r>
                  <a:rPr lang="nod-Thai-001" baseline="0"/>
                  <a:t>ปี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687760"/>
        <c:crosses val="autoZero"/>
        <c:auto val="1"/>
        <c:lblAlgn val="ctr"/>
        <c:lblOffset val="100"/>
        <c:noMultiLvlLbl val="0"/>
      </c:catAx>
      <c:valAx>
        <c:axId val="163668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กระแสเงินสดสะสม</a:t>
                </a:r>
                <a:r>
                  <a:rPr lang="nod-Thai-001" sz="1000" b="0" i="0" u="none" strike="noStrike" baseline="0"/>
                  <a:t> </a:t>
                </a:r>
                <a:r>
                  <a:rPr lang="en-US" sz="1000" b="0" i="0" u="none" strike="noStrike" baseline="0"/>
                  <a:t>(</a:t>
                </a:r>
                <a:r>
                  <a:rPr lang="nod-Thai-001" sz="1000" b="0" i="0" u="none" strike="noStrike" baseline="0"/>
                  <a:t>บาท</a:t>
                </a:r>
                <a:r>
                  <a:rPr lang="en-US" sz="1000" b="0" i="0" u="none" strike="noStrike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05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25A946-F6E0-2C61-83D7-7A8C0EFA0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22087</xdr:rowOff>
    </xdr:from>
    <xdr:to>
      <xdr:col>15</xdr:col>
      <xdr:colOff>292100</xdr:colOff>
      <xdr:row>38</xdr:row>
      <xdr:rowOff>22087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688B55-1078-4BBC-A3C3-6349EA4CE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15</xdr:col>
      <xdr:colOff>292100</xdr:colOff>
      <xdr:row>57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98F675-18A2-49C5-A9C6-0BF3DC11F4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15</xdr:col>
      <xdr:colOff>292100</xdr:colOff>
      <xdr:row>76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0D9998-E468-415C-A092-BE45437F2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77</xdr:row>
      <xdr:rowOff>12700</xdr:rowOff>
    </xdr:from>
    <xdr:to>
      <xdr:col>15</xdr:col>
      <xdr:colOff>292100</xdr:colOff>
      <xdr:row>95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84D19F-2DFF-4F07-BF18-390B4B0BF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96</xdr:row>
      <xdr:rowOff>0</xdr:rowOff>
    </xdr:from>
    <xdr:to>
      <xdr:col>15</xdr:col>
      <xdr:colOff>292100</xdr:colOff>
      <xdr:row>114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CE70C76-70AE-4049-AD9C-578360951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115</xdr:row>
      <xdr:rowOff>0</xdr:rowOff>
    </xdr:from>
    <xdr:to>
      <xdr:col>15</xdr:col>
      <xdr:colOff>292100</xdr:colOff>
      <xdr:row>133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3ABAD7-A6F8-4051-8116-BC11EB30A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245241</xdr:colOff>
      <xdr:row>0</xdr:row>
      <xdr:rowOff>0</xdr:rowOff>
    </xdr:from>
    <xdr:to>
      <xdr:col>12</xdr:col>
      <xdr:colOff>0</xdr:colOff>
      <xdr:row>14</xdr:row>
      <xdr:rowOff>164882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B6FDB4-8A85-45CB-41FC-108C69EA7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16</xdr:row>
      <xdr:rowOff>19050</xdr:rowOff>
    </xdr:from>
    <xdr:to>
      <xdr:col>15</xdr:col>
      <xdr:colOff>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D90805-A578-FBD3-6CC1-9600C9509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3</xdr:col>
      <xdr:colOff>25400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C800F-0119-F86A-D050-5CAD2297C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3</xdr:col>
      <xdr:colOff>25400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DFA433-2211-4BD6-9EA3-CDB2C45A1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60</xdr:row>
      <xdr:rowOff>179295</xdr:rowOff>
    </xdr:from>
    <xdr:to>
      <xdr:col>2</xdr:col>
      <xdr:colOff>2173940</xdr:colOff>
      <xdr:row>75</xdr:row>
      <xdr:rowOff>179295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377CFD-FC04-9FCC-F10C-1758E77E3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N927"/>
  <sheetViews>
    <sheetView zoomScale="70" zoomScaleNormal="70" workbookViewId="0">
      <selection activeCell="J40" sqref="J40"/>
    </sheetView>
  </sheetViews>
  <sheetFormatPr defaultRowHeight="14.5" x14ac:dyDescent="0.35"/>
  <cols>
    <col min="1" max="1" width="12" customWidth="1"/>
    <col min="2" max="2" width="22" customWidth="1"/>
    <col min="3" max="3" width="14" customWidth="1"/>
    <col min="4" max="4" width="13" customWidth="1"/>
    <col min="5" max="5" width="19" customWidth="1"/>
    <col min="6" max="8" width="12" customWidth="1"/>
    <col min="9" max="9" width="20" customWidth="1"/>
    <col min="10" max="10" width="12" customWidth="1"/>
    <col min="11" max="12" width="14" customWidth="1"/>
    <col min="13" max="13" width="32.81640625" customWidth="1"/>
    <col min="14" max="14" width="14.4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1524</v>
      </c>
    </row>
    <row r="2" spans="1:14" x14ac:dyDescent="0.35">
      <c r="A2">
        <v>800</v>
      </c>
      <c r="B2" t="s">
        <v>13</v>
      </c>
      <c r="C2">
        <v>750</v>
      </c>
      <c r="D2">
        <v>6</v>
      </c>
      <c r="E2" t="s">
        <v>14</v>
      </c>
      <c r="F2">
        <v>1.4</v>
      </c>
      <c r="G2">
        <v>1192</v>
      </c>
      <c r="H2">
        <v>40</v>
      </c>
      <c r="I2">
        <v>1200</v>
      </c>
      <c r="J2">
        <v>0.67</v>
      </c>
      <c r="K2">
        <v>0.16200000000000001</v>
      </c>
      <c r="L2">
        <v>3.5</v>
      </c>
      <c r="M2" t="s">
        <v>15</v>
      </c>
      <c r="N2">
        <v>1</v>
      </c>
    </row>
    <row r="3" spans="1:14" x14ac:dyDescent="0.35">
      <c r="A3">
        <v>799</v>
      </c>
      <c r="B3" t="s">
        <v>16</v>
      </c>
      <c r="C3">
        <v>749</v>
      </c>
      <c r="D3">
        <v>7</v>
      </c>
      <c r="E3" t="s">
        <v>17</v>
      </c>
      <c r="F3">
        <v>2.9</v>
      </c>
      <c r="G3">
        <v>1193</v>
      </c>
      <c r="H3">
        <v>40</v>
      </c>
      <c r="I3">
        <v>1200</v>
      </c>
      <c r="J3">
        <v>0.57999999999999996</v>
      </c>
      <c r="K3">
        <v>0.16200000000000001</v>
      </c>
      <c r="L3">
        <v>3.5</v>
      </c>
      <c r="M3" t="s">
        <v>18</v>
      </c>
      <c r="N3">
        <v>1</v>
      </c>
    </row>
    <row r="4" spans="1:14" x14ac:dyDescent="0.35">
      <c r="A4">
        <v>798</v>
      </c>
      <c r="B4" t="s">
        <v>19</v>
      </c>
      <c r="C4">
        <v>748</v>
      </c>
      <c r="D4">
        <v>3</v>
      </c>
      <c r="E4" t="s">
        <v>20</v>
      </c>
      <c r="F4">
        <v>1.2</v>
      </c>
      <c r="G4">
        <v>1192</v>
      </c>
      <c r="H4">
        <v>40</v>
      </c>
      <c r="I4">
        <v>1200</v>
      </c>
      <c r="J4">
        <v>0.67</v>
      </c>
      <c r="K4">
        <v>0.16200000000000001</v>
      </c>
      <c r="L4">
        <v>3.5</v>
      </c>
      <c r="M4" t="s">
        <v>21</v>
      </c>
      <c r="N4">
        <v>1</v>
      </c>
    </row>
    <row r="5" spans="1:14" x14ac:dyDescent="0.35">
      <c r="A5">
        <v>797</v>
      </c>
      <c r="B5" t="s">
        <v>22</v>
      </c>
      <c r="C5">
        <v>747</v>
      </c>
      <c r="D5">
        <v>11</v>
      </c>
      <c r="E5" t="s">
        <v>23</v>
      </c>
      <c r="F5">
        <v>21.9</v>
      </c>
      <c r="G5">
        <v>1190</v>
      </c>
      <c r="H5">
        <v>40</v>
      </c>
      <c r="I5">
        <v>1200</v>
      </c>
      <c r="J5">
        <v>0.83</v>
      </c>
      <c r="K5">
        <v>0.16200000000000001</v>
      </c>
      <c r="L5">
        <v>3.5</v>
      </c>
      <c r="M5" t="s">
        <v>24</v>
      </c>
      <c r="N5">
        <v>1</v>
      </c>
    </row>
    <row r="6" spans="1:14" x14ac:dyDescent="0.35">
      <c r="A6">
        <v>796</v>
      </c>
      <c r="B6" t="s">
        <v>25</v>
      </c>
      <c r="C6">
        <v>746</v>
      </c>
      <c r="D6">
        <v>11</v>
      </c>
      <c r="E6" t="s">
        <v>23</v>
      </c>
      <c r="F6">
        <v>19.399999999999999</v>
      </c>
      <c r="G6">
        <v>1192</v>
      </c>
      <c r="H6">
        <v>40</v>
      </c>
      <c r="I6">
        <v>1200</v>
      </c>
      <c r="J6">
        <v>0.67</v>
      </c>
      <c r="K6">
        <v>0.16200000000000001</v>
      </c>
      <c r="L6">
        <v>3.5</v>
      </c>
      <c r="M6" t="s">
        <v>26</v>
      </c>
      <c r="N6">
        <v>1</v>
      </c>
    </row>
    <row r="7" spans="1:14" x14ac:dyDescent="0.35">
      <c r="A7">
        <v>795</v>
      </c>
      <c r="B7" t="s">
        <v>27</v>
      </c>
      <c r="C7">
        <v>745</v>
      </c>
      <c r="D7">
        <v>4</v>
      </c>
      <c r="E7" t="s">
        <v>28</v>
      </c>
      <c r="F7">
        <v>2.2999999999999998</v>
      </c>
      <c r="G7">
        <v>1188</v>
      </c>
      <c r="H7">
        <v>40</v>
      </c>
      <c r="I7">
        <v>1200</v>
      </c>
      <c r="J7">
        <v>1</v>
      </c>
      <c r="K7">
        <v>0.16200000000000001</v>
      </c>
      <c r="L7">
        <v>3.5</v>
      </c>
      <c r="M7" t="s">
        <v>29</v>
      </c>
      <c r="N7">
        <v>1</v>
      </c>
    </row>
    <row r="8" spans="1:14" x14ac:dyDescent="0.35">
      <c r="A8">
        <v>794</v>
      </c>
      <c r="B8" t="s">
        <v>30</v>
      </c>
      <c r="C8">
        <v>744</v>
      </c>
      <c r="D8">
        <v>11</v>
      </c>
      <c r="E8" t="s">
        <v>23</v>
      </c>
      <c r="F8">
        <v>19.8</v>
      </c>
      <c r="G8">
        <v>1191</v>
      </c>
      <c r="H8">
        <v>40</v>
      </c>
      <c r="I8">
        <v>1200</v>
      </c>
      <c r="J8">
        <v>0.75</v>
      </c>
      <c r="K8">
        <v>0.16200000000000001</v>
      </c>
      <c r="L8">
        <v>3.5</v>
      </c>
      <c r="M8" t="s">
        <v>31</v>
      </c>
      <c r="N8">
        <v>1</v>
      </c>
    </row>
    <row r="9" spans="1:14" x14ac:dyDescent="0.35">
      <c r="A9">
        <v>793</v>
      </c>
      <c r="B9" t="s">
        <v>32</v>
      </c>
      <c r="C9">
        <v>743</v>
      </c>
      <c r="D9">
        <v>11</v>
      </c>
      <c r="E9" t="s">
        <v>23</v>
      </c>
      <c r="F9">
        <v>19.3</v>
      </c>
      <c r="G9">
        <v>1188</v>
      </c>
      <c r="H9">
        <v>40</v>
      </c>
      <c r="I9">
        <v>1200</v>
      </c>
      <c r="J9">
        <v>1</v>
      </c>
      <c r="K9">
        <v>0.16200000000000001</v>
      </c>
      <c r="L9">
        <v>3.5</v>
      </c>
      <c r="M9" t="s">
        <v>33</v>
      </c>
      <c r="N9">
        <v>1</v>
      </c>
    </row>
    <row r="10" spans="1:14" x14ac:dyDescent="0.35">
      <c r="A10">
        <v>792</v>
      </c>
      <c r="B10" t="s">
        <v>34</v>
      </c>
      <c r="C10">
        <v>742</v>
      </c>
      <c r="D10">
        <v>5</v>
      </c>
      <c r="E10" t="s">
        <v>35</v>
      </c>
      <c r="F10">
        <v>1.1000000000000001</v>
      </c>
      <c r="G10">
        <v>1192</v>
      </c>
      <c r="H10">
        <v>40</v>
      </c>
      <c r="I10">
        <v>1200</v>
      </c>
      <c r="J10">
        <v>0.67</v>
      </c>
      <c r="K10">
        <v>0.16200000000000001</v>
      </c>
      <c r="L10">
        <v>3.5</v>
      </c>
      <c r="M10" t="s">
        <v>36</v>
      </c>
      <c r="N10">
        <v>1</v>
      </c>
    </row>
    <row r="11" spans="1:14" x14ac:dyDescent="0.35">
      <c r="A11">
        <v>791</v>
      </c>
      <c r="B11" t="s">
        <v>37</v>
      </c>
      <c r="C11">
        <v>741</v>
      </c>
      <c r="D11">
        <v>8</v>
      </c>
      <c r="E11" t="s">
        <v>38</v>
      </c>
      <c r="F11">
        <v>2.1</v>
      </c>
      <c r="G11">
        <v>1187</v>
      </c>
      <c r="H11">
        <v>40</v>
      </c>
      <c r="I11">
        <v>1200</v>
      </c>
      <c r="J11">
        <v>1.08</v>
      </c>
      <c r="K11">
        <v>0.161</v>
      </c>
      <c r="L11">
        <v>3.5</v>
      </c>
      <c r="M11" t="s">
        <v>39</v>
      </c>
      <c r="N11">
        <v>1</v>
      </c>
    </row>
    <row r="12" spans="1:14" x14ac:dyDescent="0.35">
      <c r="A12">
        <v>790</v>
      </c>
      <c r="B12" t="s">
        <v>40</v>
      </c>
      <c r="C12">
        <v>740</v>
      </c>
      <c r="D12">
        <v>1</v>
      </c>
      <c r="E12" t="s">
        <v>41</v>
      </c>
      <c r="F12">
        <v>2.9</v>
      </c>
      <c r="G12">
        <v>1192</v>
      </c>
      <c r="H12">
        <v>40</v>
      </c>
      <c r="I12">
        <v>1200</v>
      </c>
      <c r="J12">
        <v>0.67</v>
      </c>
      <c r="K12">
        <v>0.16200000000000001</v>
      </c>
      <c r="L12">
        <v>3.5</v>
      </c>
      <c r="M12" t="s">
        <v>42</v>
      </c>
      <c r="N12">
        <v>1</v>
      </c>
    </row>
    <row r="13" spans="1:14" x14ac:dyDescent="0.35">
      <c r="A13">
        <v>789</v>
      </c>
      <c r="B13" t="s">
        <v>43</v>
      </c>
      <c r="C13">
        <v>739</v>
      </c>
      <c r="D13">
        <v>9</v>
      </c>
      <c r="E13" t="s">
        <v>44</v>
      </c>
      <c r="F13">
        <v>1.6</v>
      </c>
      <c r="G13">
        <v>1192</v>
      </c>
      <c r="H13">
        <v>40</v>
      </c>
      <c r="I13">
        <v>1200</v>
      </c>
      <c r="J13">
        <v>0.67</v>
      </c>
      <c r="K13">
        <v>0.16200000000000001</v>
      </c>
      <c r="L13">
        <v>3.5</v>
      </c>
      <c r="M13" t="s">
        <v>45</v>
      </c>
      <c r="N13">
        <v>1</v>
      </c>
    </row>
    <row r="14" spans="1:14" x14ac:dyDescent="0.35">
      <c r="A14">
        <v>788</v>
      </c>
      <c r="B14" t="s">
        <v>46</v>
      </c>
      <c r="C14">
        <v>738</v>
      </c>
      <c r="D14">
        <v>11</v>
      </c>
      <c r="E14" t="s">
        <v>23</v>
      </c>
      <c r="F14">
        <v>18.899999999999999</v>
      </c>
      <c r="G14">
        <v>1190</v>
      </c>
      <c r="H14">
        <v>40</v>
      </c>
      <c r="I14">
        <v>1200</v>
      </c>
      <c r="J14">
        <v>0.83</v>
      </c>
      <c r="K14">
        <v>0.16200000000000001</v>
      </c>
      <c r="L14">
        <v>3.5</v>
      </c>
      <c r="M14" t="s">
        <v>47</v>
      </c>
      <c r="N14">
        <v>1</v>
      </c>
    </row>
    <row r="15" spans="1:14" x14ac:dyDescent="0.35">
      <c r="A15">
        <v>787</v>
      </c>
      <c r="B15" t="s">
        <v>48</v>
      </c>
      <c r="C15">
        <v>737</v>
      </c>
      <c r="D15">
        <v>4</v>
      </c>
      <c r="E15" t="s">
        <v>28</v>
      </c>
      <c r="F15">
        <v>2.2000000000000002</v>
      </c>
      <c r="G15">
        <v>1194</v>
      </c>
      <c r="H15">
        <v>40</v>
      </c>
      <c r="I15">
        <v>1200</v>
      </c>
      <c r="J15">
        <v>0.5</v>
      </c>
      <c r="K15">
        <v>0.16200000000000001</v>
      </c>
      <c r="L15">
        <v>3.5</v>
      </c>
      <c r="M15" t="s">
        <v>49</v>
      </c>
      <c r="N15">
        <v>1</v>
      </c>
    </row>
    <row r="16" spans="1:14" x14ac:dyDescent="0.35">
      <c r="A16">
        <v>786</v>
      </c>
      <c r="B16" t="s">
        <v>50</v>
      </c>
      <c r="C16">
        <v>736</v>
      </c>
      <c r="D16">
        <v>11</v>
      </c>
      <c r="E16" t="s">
        <v>23</v>
      </c>
      <c r="F16">
        <v>17.899999999999999</v>
      </c>
      <c r="G16">
        <v>1191</v>
      </c>
      <c r="H16">
        <v>40</v>
      </c>
      <c r="I16">
        <v>1200</v>
      </c>
      <c r="J16">
        <v>0.75</v>
      </c>
      <c r="K16">
        <v>0.16200000000000001</v>
      </c>
      <c r="L16">
        <v>3.5</v>
      </c>
      <c r="M16" t="s">
        <v>51</v>
      </c>
      <c r="N16">
        <v>1</v>
      </c>
    </row>
    <row r="17" spans="1:14" x14ac:dyDescent="0.35">
      <c r="A17">
        <v>785</v>
      </c>
      <c r="B17" t="s">
        <v>52</v>
      </c>
      <c r="C17">
        <v>735</v>
      </c>
      <c r="D17">
        <v>1</v>
      </c>
      <c r="E17" t="s">
        <v>41</v>
      </c>
      <c r="F17">
        <v>2.9</v>
      </c>
      <c r="G17">
        <v>1190</v>
      </c>
      <c r="H17">
        <v>40</v>
      </c>
      <c r="I17">
        <v>1200</v>
      </c>
      <c r="J17">
        <v>0.83</v>
      </c>
      <c r="K17">
        <v>0.16200000000000001</v>
      </c>
      <c r="L17">
        <v>3.5</v>
      </c>
      <c r="M17" t="s">
        <v>53</v>
      </c>
      <c r="N17">
        <v>1</v>
      </c>
    </row>
    <row r="18" spans="1:14" x14ac:dyDescent="0.35">
      <c r="A18">
        <v>784</v>
      </c>
      <c r="B18" t="s">
        <v>54</v>
      </c>
      <c r="C18">
        <v>734</v>
      </c>
      <c r="D18">
        <v>6</v>
      </c>
      <c r="E18" t="s">
        <v>14</v>
      </c>
      <c r="F18">
        <v>1.2</v>
      </c>
      <c r="G18">
        <v>1192</v>
      </c>
      <c r="H18">
        <v>40</v>
      </c>
      <c r="I18">
        <v>1200</v>
      </c>
      <c r="J18">
        <v>0.67</v>
      </c>
      <c r="K18">
        <v>0.16200000000000001</v>
      </c>
      <c r="L18">
        <v>3.5</v>
      </c>
      <c r="M18" t="s">
        <v>55</v>
      </c>
      <c r="N18">
        <v>1</v>
      </c>
    </row>
    <row r="19" spans="1:14" x14ac:dyDescent="0.35">
      <c r="A19">
        <v>783</v>
      </c>
      <c r="B19" t="s">
        <v>56</v>
      </c>
      <c r="C19">
        <v>733</v>
      </c>
      <c r="D19">
        <v>11</v>
      </c>
      <c r="E19" t="s">
        <v>23</v>
      </c>
      <c r="F19">
        <v>13.6</v>
      </c>
      <c r="G19">
        <v>1191</v>
      </c>
      <c r="H19">
        <v>40</v>
      </c>
      <c r="I19">
        <v>1200</v>
      </c>
      <c r="J19">
        <v>0.75</v>
      </c>
      <c r="K19">
        <v>0.16200000000000001</v>
      </c>
      <c r="L19">
        <v>3.5</v>
      </c>
      <c r="M19" t="s">
        <v>57</v>
      </c>
      <c r="N19">
        <v>1</v>
      </c>
    </row>
    <row r="20" spans="1:14" x14ac:dyDescent="0.35">
      <c r="A20">
        <v>782</v>
      </c>
      <c r="B20" t="s">
        <v>58</v>
      </c>
      <c r="C20" s="3">
        <v>732</v>
      </c>
      <c r="D20">
        <v>12</v>
      </c>
      <c r="E20" t="s">
        <v>59</v>
      </c>
      <c r="F20">
        <v>0</v>
      </c>
      <c r="G20">
        <v>1189</v>
      </c>
      <c r="H20">
        <v>40</v>
      </c>
      <c r="I20">
        <v>1200</v>
      </c>
      <c r="J20">
        <v>0.92</v>
      </c>
      <c r="K20">
        <v>0.16200000000000001</v>
      </c>
      <c r="L20">
        <v>3.5</v>
      </c>
      <c r="M20" t="s">
        <v>60</v>
      </c>
      <c r="N20">
        <v>0</v>
      </c>
    </row>
    <row r="21" spans="1:14" x14ac:dyDescent="0.35">
      <c r="A21">
        <v>781</v>
      </c>
      <c r="B21" t="s">
        <v>61</v>
      </c>
      <c r="C21">
        <v>731</v>
      </c>
      <c r="D21">
        <v>11</v>
      </c>
      <c r="E21" t="s">
        <v>23</v>
      </c>
      <c r="F21">
        <v>14.4</v>
      </c>
      <c r="G21">
        <v>1191</v>
      </c>
      <c r="H21">
        <v>40</v>
      </c>
      <c r="I21">
        <v>1200</v>
      </c>
      <c r="J21">
        <v>0.75</v>
      </c>
      <c r="K21">
        <v>0.16200000000000001</v>
      </c>
      <c r="L21">
        <v>3.5</v>
      </c>
      <c r="M21" t="s">
        <v>62</v>
      </c>
      <c r="N21">
        <v>1</v>
      </c>
    </row>
    <row r="22" spans="1:14" x14ac:dyDescent="0.35">
      <c r="A22">
        <v>780</v>
      </c>
      <c r="B22" t="s">
        <v>63</v>
      </c>
      <c r="C22">
        <v>730</v>
      </c>
      <c r="D22">
        <v>12</v>
      </c>
      <c r="E22" t="s">
        <v>59</v>
      </c>
      <c r="F22">
        <v>0</v>
      </c>
      <c r="G22">
        <v>1189</v>
      </c>
      <c r="H22">
        <v>40</v>
      </c>
      <c r="I22">
        <v>1200</v>
      </c>
      <c r="J22">
        <v>0.92</v>
      </c>
      <c r="K22">
        <v>0.16200000000000001</v>
      </c>
      <c r="L22">
        <v>3.5</v>
      </c>
      <c r="M22" t="s">
        <v>64</v>
      </c>
      <c r="N22">
        <v>1</v>
      </c>
    </row>
    <row r="23" spans="1:14" x14ac:dyDescent="0.35">
      <c r="A23">
        <v>779</v>
      </c>
      <c r="B23" t="s">
        <v>65</v>
      </c>
      <c r="C23">
        <v>729</v>
      </c>
      <c r="D23">
        <v>11</v>
      </c>
      <c r="E23" t="s">
        <v>23</v>
      </c>
      <c r="F23">
        <v>19.600000000000001</v>
      </c>
      <c r="G23">
        <v>1192</v>
      </c>
      <c r="H23">
        <v>40</v>
      </c>
      <c r="I23">
        <v>1200</v>
      </c>
      <c r="J23">
        <v>0.67</v>
      </c>
      <c r="K23">
        <v>0.161</v>
      </c>
      <c r="L23">
        <v>3.5</v>
      </c>
      <c r="M23" t="s">
        <v>66</v>
      </c>
      <c r="N23">
        <v>1</v>
      </c>
    </row>
    <row r="24" spans="1:14" x14ac:dyDescent="0.35">
      <c r="A24">
        <v>778</v>
      </c>
      <c r="B24" t="s">
        <v>67</v>
      </c>
      <c r="C24">
        <v>728</v>
      </c>
      <c r="D24">
        <v>3</v>
      </c>
      <c r="E24" t="s">
        <v>20</v>
      </c>
      <c r="F24">
        <v>1.1000000000000001</v>
      </c>
      <c r="G24">
        <v>1189</v>
      </c>
      <c r="H24">
        <v>40</v>
      </c>
      <c r="I24">
        <v>1200</v>
      </c>
      <c r="J24">
        <v>0.92</v>
      </c>
      <c r="K24">
        <v>0.16200000000000001</v>
      </c>
      <c r="L24">
        <v>3.5</v>
      </c>
      <c r="M24" t="s">
        <v>68</v>
      </c>
      <c r="N24">
        <v>1</v>
      </c>
    </row>
    <row r="25" spans="1:14" x14ac:dyDescent="0.35">
      <c r="A25">
        <v>777</v>
      </c>
      <c r="B25" t="s">
        <v>69</v>
      </c>
      <c r="C25">
        <v>727</v>
      </c>
      <c r="D25">
        <v>7</v>
      </c>
      <c r="E25" t="s">
        <v>17</v>
      </c>
      <c r="F25">
        <v>2.9</v>
      </c>
      <c r="G25">
        <v>1190</v>
      </c>
      <c r="H25">
        <v>40</v>
      </c>
      <c r="I25">
        <v>1200</v>
      </c>
      <c r="J25">
        <v>0.83</v>
      </c>
      <c r="K25">
        <v>0.16200000000000001</v>
      </c>
      <c r="L25">
        <v>3.5</v>
      </c>
      <c r="M25" t="s">
        <v>70</v>
      </c>
      <c r="N25">
        <v>1</v>
      </c>
    </row>
    <row r="26" spans="1:14" x14ac:dyDescent="0.35">
      <c r="A26">
        <v>776</v>
      </c>
      <c r="B26" t="s">
        <v>71</v>
      </c>
      <c r="C26">
        <v>726</v>
      </c>
      <c r="D26">
        <v>8</v>
      </c>
      <c r="E26" t="s">
        <v>38</v>
      </c>
      <c r="F26">
        <v>2.1</v>
      </c>
      <c r="G26">
        <v>1192</v>
      </c>
      <c r="H26">
        <v>40</v>
      </c>
      <c r="I26">
        <v>1200</v>
      </c>
      <c r="J26">
        <v>0.67</v>
      </c>
      <c r="K26">
        <v>0.16200000000000001</v>
      </c>
      <c r="L26">
        <v>3.5</v>
      </c>
      <c r="M26" t="s">
        <v>72</v>
      </c>
      <c r="N26">
        <v>1</v>
      </c>
    </row>
    <row r="27" spans="1:14" x14ac:dyDescent="0.35">
      <c r="A27">
        <v>775</v>
      </c>
      <c r="B27" t="s">
        <v>73</v>
      </c>
      <c r="C27">
        <v>725</v>
      </c>
      <c r="D27">
        <v>2</v>
      </c>
      <c r="E27" t="s">
        <v>74</v>
      </c>
      <c r="F27">
        <v>1.2</v>
      </c>
      <c r="G27">
        <v>1190</v>
      </c>
      <c r="H27">
        <v>40</v>
      </c>
      <c r="I27">
        <v>1200</v>
      </c>
      <c r="J27">
        <v>0.83</v>
      </c>
      <c r="K27">
        <v>0.16200000000000001</v>
      </c>
      <c r="L27">
        <v>3.5</v>
      </c>
      <c r="M27" t="s">
        <v>75</v>
      </c>
      <c r="N27">
        <v>1</v>
      </c>
    </row>
    <row r="28" spans="1:14" x14ac:dyDescent="0.35">
      <c r="A28">
        <v>774</v>
      </c>
      <c r="B28" t="s">
        <v>76</v>
      </c>
      <c r="C28">
        <v>724</v>
      </c>
      <c r="D28">
        <v>7</v>
      </c>
      <c r="E28" t="s">
        <v>17</v>
      </c>
      <c r="F28">
        <v>2.9</v>
      </c>
      <c r="G28">
        <v>1188</v>
      </c>
      <c r="H28">
        <v>40</v>
      </c>
      <c r="I28">
        <v>1200</v>
      </c>
      <c r="J28">
        <v>1</v>
      </c>
      <c r="K28">
        <v>0.16200000000000001</v>
      </c>
      <c r="L28">
        <v>3.5</v>
      </c>
      <c r="M28" t="s">
        <v>77</v>
      </c>
      <c r="N28">
        <v>1</v>
      </c>
    </row>
    <row r="29" spans="1:14" x14ac:dyDescent="0.35">
      <c r="A29">
        <v>773</v>
      </c>
      <c r="B29" t="s">
        <v>78</v>
      </c>
      <c r="C29">
        <v>723</v>
      </c>
      <c r="D29">
        <v>4</v>
      </c>
      <c r="E29" t="s">
        <v>28</v>
      </c>
      <c r="F29">
        <v>2.2999999999999998</v>
      </c>
      <c r="G29">
        <v>1191</v>
      </c>
      <c r="H29">
        <v>40</v>
      </c>
      <c r="I29">
        <v>1200</v>
      </c>
      <c r="J29">
        <v>0.75</v>
      </c>
      <c r="K29">
        <v>0.16200000000000001</v>
      </c>
      <c r="L29">
        <v>3.5</v>
      </c>
      <c r="M29" t="s">
        <v>79</v>
      </c>
      <c r="N29">
        <v>1</v>
      </c>
    </row>
    <row r="30" spans="1:14" x14ac:dyDescent="0.35">
      <c r="A30">
        <v>772</v>
      </c>
      <c r="B30" t="s">
        <v>80</v>
      </c>
      <c r="C30">
        <v>722</v>
      </c>
      <c r="D30">
        <v>5</v>
      </c>
      <c r="E30" t="s">
        <v>35</v>
      </c>
      <c r="F30">
        <v>1.1000000000000001</v>
      </c>
      <c r="G30">
        <v>1188</v>
      </c>
      <c r="H30">
        <v>40</v>
      </c>
      <c r="I30">
        <v>1200</v>
      </c>
      <c r="J30">
        <v>1</v>
      </c>
      <c r="K30">
        <v>0.16200000000000001</v>
      </c>
      <c r="L30">
        <v>3.5</v>
      </c>
      <c r="M30" t="s">
        <v>81</v>
      </c>
      <c r="N30">
        <v>1</v>
      </c>
    </row>
    <row r="31" spans="1:14" x14ac:dyDescent="0.35">
      <c r="A31">
        <v>771</v>
      </c>
      <c r="B31" t="s">
        <v>82</v>
      </c>
      <c r="C31">
        <v>721</v>
      </c>
      <c r="D31">
        <v>11</v>
      </c>
      <c r="E31" t="s">
        <v>23</v>
      </c>
      <c r="F31">
        <v>17.600000000000001</v>
      </c>
      <c r="G31">
        <v>1191</v>
      </c>
      <c r="H31">
        <v>40</v>
      </c>
      <c r="I31">
        <v>1200</v>
      </c>
      <c r="J31">
        <v>0.75</v>
      </c>
      <c r="K31">
        <v>0.16200000000000001</v>
      </c>
      <c r="L31">
        <v>3.5</v>
      </c>
      <c r="M31" t="s">
        <v>83</v>
      </c>
      <c r="N31">
        <v>1</v>
      </c>
    </row>
    <row r="32" spans="1:14" x14ac:dyDescent="0.35">
      <c r="A32">
        <v>770</v>
      </c>
      <c r="B32" t="s">
        <v>84</v>
      </c>
      <c r="C32">
        <v>720</v>
      </c>
      <c r="D32">
        <v>3</v>
      </c>
      <c r="E32" t="s">
        <v>20</v>
      </c>
      <c r="F32">
        <v>1.1000000000000001</v>
      </c>
      <c r="G32">
        <v>1190</v>
      </c>
      <c r="H32">
        <v>40</v>
      </c>
      <c r="I32">
        <v>1200</v>
      </c>
      <c r="J32">
        <v>0.83</v>
      </c>
      <c r="K32">
        <v>0.16200000000000001</v>
      </c>
      <c r="L32">
        <v>3.5</v>
      </c>
      <c r="M32" t="s">
        <v>85</v>
      </c>
      <c r="N32">
        <v>1</v>
      </c>
    </row>
    <row r="33" spans="1:14" x14ac:dyDescent="0.35">
      <c r="A33">
        <v>769</v>
      </c>
      <c r="B33" t="s">
        <v>86</v>
      </c>
      <c r="C33">
        <v>719</v>
      </c>
      <c r="D33">
        <v>11</v>
      </c>
      <c r="E33" t="s">
        <v>23</v>
      </c>
      <c r="F33">
        <v>19.3</v>
      </c>
      <c r="G33">
        <v>1191</v>
      </c>
      <c r="H33">
        <v>40</v>
      </c>
      <c r="I33">
        <v>1200</v>
      </c>
      <c r="J33">
        <v>0.75</v>
      </c>
      <c r="K33">
        <v>0.16200000000000001</v>
      </c>
      <c r="L33">
        <v>3.5</v>
      </c>
      <c r="M33" t="s">
        <v>87</v>
      </c>
      <c r="N33">
        <v>1</v>
      </c>
    </row>
    <row r="34" spans="1:14" x14ac:dyDescent="0.35">
      <c r="A34">
        <v>768</v>
      </c>
      <c r="B34" t="s">
        <v>88</v>
      </c>
      <c r="C34">
        <v>718</v>
      </c>
      <c r="D34">
        <v>9</v>
      </c>
      <c r="E34" t="s">
        <v>44</v>
      </c>
      <c r="F34">
        <v>1.6</v>
      </c>
      <c r="G34">
        <v>1191</v>
      </c>
      <c r="H34">
        <v>40</v>
      </c>
      <c r="I34">
        <v>1200</v>
      </c>
      <c r="J34">
        <v>0.75</v>
      </c>
      <c r="K34">
        <v>0.16200000000000001</v>
      </c>
      <c r="L34">
        <v>3.5</v>
      </c>
      <c r="M34" t="s">
        <v>89</v>
      </c>
      <c r="N34">
        <v>1</v>
      </c>
    </row>
    <row r="35" spans="1:14" x14ac:dyDescent="0.35">
      <c r="A35">
        <v>767</v>
      </c>
      <c r="B35" t="s">
        <v>90</v>
      </c>
      <c r="C35">
        <v>717</v>
      </c>
      <c r="D35">
        <v>3</v>
      </c>
      <c r="E35" t="s">
        <v>20</v>
      </c>
      <c r="F35">
        <v>1.5</v>
      </c>
      <c r="G35">
        <v>1189</v>
      </c>
      <c r="H35">
        <v>40</v>
      </c>
      <c r="I35">
        <v>1200</v>
      </c>
      <c r="J35">
        <v>0.92</v>
      </c>
      <c r="K35">
        <v>0.16200000000000001</v>
      </c>
      <c r="L35">
        <v>3.5</v>
      </c>
      <c r="M35" t="s">
        <v>91</v>
      </c>
      <c r="N35">
        <v>1</v>
      </c>
    </row>
    <row r="36" spans="1:14" x14ac:dyDescent="0.35">
      <c r="A36">
        <v>766</v>
      </c>
      <c r="B36" t="s">
        <v>92</v>
      </c>
      <c r="C36">
        <v>716</v>
      </c>
      <c r="D36">
        <v>5</v>
      </c>
      <c r="E36" t="s">
        <v>35</v>
      </c>
      <c r="F36">
        <v>1.1000000000000001</v>
      </c>
      <c r="G36">
        <v>1189</v>
      </c>
      <c r="H36">
        <v>40</v>
      </c>
      <c r="I36">
        <v>1200</v>
      </c>
      <c r="J36">
        <v>0.92</v>
      </c>
      <c r="K36">
        <v>0.16200000000000001</v>
      </c>
      <c r="L36">
        <v>3.5</v>
      </c>
      <c r="M36" t="s">
        <v>93</v>
      </c>
      <c r="N36">
        <v>1</v>
      </c>
    </row>
    <row r="37" spans="1:14" x14ac:dyDescent="0.35">
      <c r="A37">
        <v>765</v>
      </c>
      <c r="B37" t="s">
        <v>94</v>
      </c>
      <c r="C37">
        <v>715</v>
      </c>
      <c r="D37">
        <v>11</v>
      </c>
      <c r="E37" t="s">
        <v>23</v>
      </c>
      <c r="F37">
        <v>29.3</v>
      </c>
      <c r="G37">
        <v>1189</v>
      </c>
      <c r="H37">
        <v>40</v>
      </c>
      <c r="I37">
        <v>1200</v>
      </c>
      <c r="J37">
        <v>0.92</v>
      </c>
      <c r="K37">
        <v>0.16200000000000001</v>
      </c>
      <c r="L37">
        <v>3.5</v>
      </c>
      <c r="M37" t="s">
        <v>95</v>
      </c>
      <c r="N37">
        <v>1</v>
      </c>
    </row>
    <row r="38" spans="1:14" x14ac:dyDescent="0.35">
      <c r="A38">
        <v>764</v>
      </c>
      <c r="B38" t="s">
        <v>96</v>
      </c>
      <c r="C38">
        <v>714</v>
      </c>
      <c r="D38">
        <v>11</v>
      </c>
      <c r="E38" t="s">
        <v>23</v>
      </c>
      <c r="F38">
        <v>14.1</v>
      </c>
      <c r="G38">
        <v>1189</v>
      </c>
      <c r="H38">
        <v>40</v>
      </c>
      <c r="I38">
        <v>1200</v>
      </c>
      <c r="J38">
        <v>0.92</v>
      </c>
      <c r="K38">
        <v>0.16200000000000001</v>
      </c>
      <c r="L38">
        <v>3.5</v>
      </c>
      <c r="M38" t="s">
        <v>97</v>
      </c>
      <c r="N38">
        <v>1</v>
      </c>
    </row>
    <row r="39" spans="1:14" x14ac:dyDescent="0.35">
      <c r="A39">
        <v>763</v>
      </c>
      <c r="B39" t="s">
        <v>98</v>
      </c>
      <c r="C39">
        <v>713</v>
      </c>
      <c r="D39">
        <v>11</v>
      </c>
      <c r="E39" t="s">
        <v>23</v>
      </c>
      <c r="F39">
        <v>13.9</v>
      </c>
      <c r="G39">
        <v>1191</v>
      </c>
      <c r="H39">
        <v>40</v>
      </c>
      <c r="I39">
        <v>1200</v>
      </c>
      <c r="J39">
        <v>0.75</v>
      </c>
      <c r="K39">
        <v>0.16200000000000001</v>
      </c>
      <c r="L39">
        <v>3.5</v>
      </c>
      <c r="M39" t="s">
        <v>99</v>
      </c>
      <c r="N39">
        <v>1</v>
      </c>
    </row>
    <row r="40" spans="1:14" x14ac:dyDescent="0.35">
      <c r="A40">
        <v>762</v>
      </c>
      <c r="B40" t="s">
        <v>100</v>
      </c>
      <c r="C40">
        <v>712</v>
      </c>
      <c r="D40">
        <v>11</v>
      </c>
      <c r="E40" t="s">
        <v>23</v>
      </c>
      <c r="F40">
        <v>28.7</v>
      </c>
      <c r="G40">
        <v>1189</v>
      </c>
      <c r="H40">
        <v>40</v>
      </c>
      <c r="I40">
        <v>1200</v>
      </c>
      <c r="J40">
        <v>0.92</v>
      </c>
      <c r="K40">
        <v>0.16200000000000001</v>
      </c>
      <c r="L40">
        <v>3.5</v>
      </c>
      <c r="M40" t="s">
        <v>101</v>
      </c>
      <c r="N40">
        <v>1</v>
      </c>
    </row>
    <row r="41" spans="1:14" x14ac:dyDescent="0.35">
      <c r="A41">
        <v>761</v>
      </c>
      <c r="B41" t="s">
        <v>102</v>
      </c>
      <c r="C41" s="3">
        <v>711</v>
      </c>
      <c r="D41">
        <v>3</v>
      </c>
      <c r="E41" t="s">
        <v>20</v>
      </c>
      <c r="F41">
        <v>3.3</v>
      </c>
      <c r="G41">
        <v>1189</v>
      </c>
      <c r="H41">
        <v>40</v>
      </c>
      <c r="I41">
        <v>1200</v>
      </c>
      <c r="J41">
        <v>0.92</v>
      </c>
      <c r="K41">
        <v>0.16200000000000001</v>
      </c>
      <c r="L41">
        <v>3.5</v>
      </c>
      <c r="M41" t="s">
        <v>103</v>
      </c>
      <c r="N41">
        <v>0</v>
      </c>
    </row>
    <row r="42" spans="1:14" x14ac:dyDescent="0.35">
      <c r="A42">
        <v>760</v>
      </c>
      <c r="B42" t="s">
        <v>104</v>
      </c>
      <c r="C42">
        <v>710</v>
      </c>
      <c r="D42">
        <v>11</v>
      </c>
      <c r="E42" t="s">
        <v>23</v>
      </c>
      <c r="F42">
        <v>18.100000000000001</v>
      </c>
      <c r="G42">
        <v>1189</v>
      </c>
      <c r="H42">
        <v>40</v>
      </c>
      <c r="I42">
        <v>1200</v>
      </c>
      <c r="J42">
        <v>0.92</v>
      </c>
      <c r="K42">
        <v>0.16200000000000001</v>
      </c>
      <c r="L42">
        <v>3.5</v>
      </c>
      <c r="M42" t="s">
        <v>105</v>
      </c>
      <c r="N42">
        <v>1</v>
      </c>
    </row>
    <row r="43" spans="1:14" x14ac:dyDescent="0.35">
      <c r="A43">
        <v>759</v>
      </c>
      <c r="B43" t="s">
        <v>106</v>
      </c>
      <c r="C43">
        <v>709</v>
      </c>
      <c r="D43">
        <v>11</v>
      </c>
      <c r="E43" t="s">
        <v>23</v>
      </c>
      <c r="F43">
        <v>18</v>
      </c>
      <c r="G43">
        <v>1189</v>
      </c>
      <c r="H43">
        <v>40</v>
      </c>
      <c r="I43">
        <v>1200</v>
      </c>
      <c r="J43">
        <v>0.92</v>
      </c>
      <c r="K43">
        <v>0.16200000000000001</v>
      </c>
      <c r="L43">
        <v>3.5</v>
      </c>
      <c r="M43" t="s">
        <v>107</v>
      </c>
      <c r="N43">
        <v>1</v>
      </c>
    </row>
    <row r="44" spans="1:14" x14ac:dyDescent="0.35">
      <c r="A44">
        <v>758</v>
      </c>
      <c r="B44" t="s">
        <v>108</v>
      </c>
      <c r="C44">
        <v>708</v>
      </c>
      <c r="D44">
        <v>5</v>
      </c>
      <c r="E44" t="s">
        <v>35</v>
      </c>
      <c r="F44">
        <v>1.2</v>
      </c>
      <c r="G44">
        <v>1190</v>
      </c>
      <c r="H44">
        <v>40</v>
      </c>
      <c r="I44">
        <v>1200</v>
      </c>
      <c r="J44">
        <v>0.83</v>
      </c>
      <c r="K44">
        <v>0.16200000000000001</v>
      </c>
      <c r="L44">
        <v>3.5</v>
      </c>
      <c r="M44" t="s">
        <v>109</v>
      </c>
      <c r="N44">
        <v>1</v>
      </c>
    </row>
    <row r="45" spans="1:14" x14ac:dyDescent="0.35">
      <c r="A45">
        <v>757</v>
      </c>
      <c r="B45" t="s">
        <v>110</v>
      </c>
      <c r="C45">
        <v>707</v>
      </c>
      <c r="D45">
        <v>1</v>
      </c>
      <c r="E45" t="s">
        <v>41</v>
      </c>
      <c r="F45">
        <v>2.9</v>
      </c>
      <c r="G45">
        <v>1190</v>
      </c>
      <c r="H45">
        <v>40</v>
      </c>
      <c r="I45">
        <v>1200</v>
      </c>
      <c r="J45">
        <v>0.83</v>
      </c>
      <c r="K45">
        <v>0.16200000000000001</v>
      </c>
      <c r="L45">
        <v>3.5</v>
      </c>
      <c r="M45" t="s">
        <v>111</v>
      </c>
      <c r="N45">
        <v>1</v>
      </c>
    </row>
    <row r="46" spans="1:14" x14ac:dyDescent="0.35">
      <c r="A46">
        <v>756</v>
      </c>
      <c r="B46" t="s">
        <v>112</v>
      </c>
      <c r="C46">
        <v>706</v>
      </c>
      <c r="D46">
        <v>11</v>
      </c>
      <c r="E46" t="s">
        <v>23</v>
      </c>
      <c r="F46">
        <v>18.2</v>
      </c>
      <c r="G46">
        <v>1191</v>
      </c>
      <c r="H46">
        <v>40</v>
      </c>
      <c r="I46">
        <v>1200</v>
      </c>
      <c r="J46">
        <v>0.75</v>
      </c>
      <c r="K46">
        <v>0.16200000000000001</v>
      </c>
      <c r="L46">
        <v>3.5</v>
      </c>
      <c r="M46" t="s">
        <v>113</v>
      </c>
      <c r="N46">
        <v>1</v>
      </c>
    </row>
    <row r="47" spans="1:14" x14ac:dyDescent="0.35">
      <c r="A47">
        <v>755</v>
      </c>
      <c r="B47" t="s">
        <v>114</v>
      </c>
      <c r="C47">
        <v>705</v>
      </c>
      <c r="D47">
        <v>8</v>
      </c>
      <c r="E47" t="s">
        <v>38</v>
      </c>
      <c r="F47">
        <v>2.1</v>
      </c>
      <c r="G47">
        <v>1189</v>
      </c>
      <c r="H47">
        <v>40</v>
      </c>
      <c r="I47">
        <v>1200</v>
      </c>
      <c r="J47">
        <v>0.92</v>
      </c>
      <c r="K47">
        <v>0.16200000000000001</v>
      </c>
      <c r="L47">
        <v>3.4</v>
      </c>
      <c r="M47" t="s">
        <v>115</v>
      </c>
      <c r="N47">
        <v>1</v>
      </c>
    </row>
    <row r="48" spans="1:14" x14ac:dyDescent="0.35">
      <c r="A48">
        <v>754</v>
      </c>
      <c r="B48" t="s">
        <v>116</v>
      </c>
      <c r="C48">
        <v>704</v>
      </c>
      <c r="D48">
        <v>5</v>
      </c>
      <c r="E48" t="s">
        <v>35</v>
      </c>
      <c r="F48">
        <v>1.1000000000000001</v>
      </c>
      <c r="G48">
        <v>1190</v>
      </c>
      <c r="H48">
        <v>40</v>
      </c>
      <c r="I48">
        <v>1200</v>
      </c>
      <c r="J48">
        <v>0.83</v>
      </c>
      <c r="K48">
        <v>0.16200000000000001</v>
      </c>
      <c r="L48">
        <v>3.4</v>
      </c>
      <c r="M48" t="s">
        <v>117</v>
      </c>
      <c r="N48">
        <v>1</v>
      </c>
    </row>
    <row r="49" spans="1:14" x14ac:dyDescent="0.35">
      <c r="A49">
        <v>753</v>
      </c>
      <c r="B49" t="s">
        <v>118</v>
      </c>
      <c r="C49">
        <v>703</v>
      </c>
      <c r="D49">
        <v>4</v>
      </c>
      <c r="E49" t="s">
        <v>28</v>
      </c>
      <c r="F49">
        <v>2.2999999999999998</v>
      </c>
      <c r="G49">
        <v>1191</v>
      </c>
      <c r="H49">
        <v>40</v>
      </c>
      <c r="I49">
        <v>1200</v>
      </c>
      <c r="J49">
        <v>0.75</v>
      </c>
      <c r="K49">
        <v>0.16200000000000001</v>
      </c>
      <c r="L49">
        <v>3.5</v>
      </c>
      <c r="M49" t="s">
        <v>119</v>
      </c>
      <c r="N49">
        <v>1</v>
      </c>
    </row>
    <row r="50" spans="1:14" x14ac:dyDescent="0.35">
      <c r="A50">
        <v>752</v>
      </c>
      <c r="B50" t="s">
        <v>120</v>
      </c>
      <c r="C50">
        <v>702</v>
      </c>
      <c r="D50">
        <v>2</v>
      </c>
      <c r="E50" t="s">
        <v>74</v>
      </c>
      <c r="F50">
        <v>1.4</v>
      </c>
      <c r="G50">
        <v>1192</v>
      </c>
      <c r="H50">
        <v>40</v>
      </c>
      <c r="I50">
        <v>1200</v>
      </c>
      <c r="J50">
        <v>0.67</v>
      </c>
      <c r="K50">
        <v>0.16200000000000001</v>
      </c>
      <c r="L50">
        <v>3.4</v>
      </c>
      <c r="M50" t="s">
        <v>121</v>
      </c>
      <c r="N50">
        <v>1</v>
      </c>
    </row>
    <row r="51" spans="1:14" x14ac:dyDescent="0.35">
      <c r="A51">
        <v>751</v>
      </c>
      <c r="B51" t="s">
        <v>122</v>
      </c>
      <c r="C51">
        <v>701</v>
      </c>
      <c r="D51">
        <v>6</v>
      </c>
      <c r="E51" t="s">
        <v>14</v>
      </c>
      <c r="F51">
        <v>1.2</v>
      </c>
      <c r="G51">
        <v>1188</v>
      </c>
      <c r="H51">
        <v>40</v>
      </c>
      <c r="I51">
        <v>1200</v>
      </c>
      <c r="J51">
        <v>1</v>
      </c>
      <c r="K51">
        <v>0.16200000000000001</v>
      </c>
      <c r="L51">
        <v>3.5</v>
      </c>
      <c r="M51" t="s">
        <v>123</v>
      </c>
      <c r="N51">
        <v>1</v>
      </c>
    </row>
    <row r="52" spans="1:14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35">
      <c r="A53">
        <v>750</v>
      </c>
      <c r="B53" t="s">
        <v>124</v>
      </c>
      <c r="C53">
        <v>700</v>
      </c>
      <c r="D53">
        <v>7</v>
      </c>
      <c r="E53" t="s">
        <v>17</v>
      </c>
      <c r="F53">
        <v>2.9</v>
      </c>
      <c r="G53">
        <v>1038</v>
      </c>
      <c r="H53">
        <v>35</v>
      </c>
      <c r="I53">
        <v>1050</v>
      </c>
      <c r="J53">
        <v>1.1399999999999999</v>
      </c>
      <c r="K53">
        <v>0.14099999999999999</v>
      </c>
      <c r="L53">
        <v>4</v>
      </c>
      <c r="M53" t="s">
        <v>125</v>
      </c>
      <c r="N53">
        <v>1</v>
      </c>
    </row>
    <row r="54" spans="1:14" x14ac:dyDescent="0.35">
      <c r="A54">
        <v>749</v>
      </c>
      <c r="B54" t="s">
        <v>126</v>
      </c>
      <c r="C54">
        <v>699</v>
      </c>
      <c r="D54">
        <v>6</v>
      </c>
      <c r="E54" t="s">
        <v>14</v>
      </c>
      <c r="F54">
        <v>1.1000000000000001</v>
      </c>
      <c r="G54">
        <v>1040</v>
      </c>
      <c r="H54">
        <v>35</v>
      </c>
      <c r="I54">
        <v>1050</v>
      </c>
      <c r="J54">
        <v>0.95</v>
      </c>
      <c r="K54">
        <v>0.14099999999999999</v>
      </c>
      <c r="L54">
        <v>4</v>
      </c>
      <c r="M54" t="s">
        <v>127</v>
      </c>
      <c r="N54">
        <v>1</v>
      </c>
    </row>
    <row r="55" spans="1:14" x14ac:dyDescent="0.35">
      <c r="A55">
        <v>748</v>
      </c>
      <c r="B55" t="s">
        <v>128</v>
      </c>
      <c r="C55">
        <v>698</v>
      </c>
      <c r="D55">
        <v>1</v>
      </c>
      <c r="E55" t="s">
        <v>41</v>
      </c>
      <c r="F55">
        <v>2.8</v>
      </c>
      <c r="G55">
        <v>1039</v>
      </c>
      <c r="H55">
        <v>35</v>
      </c>
      <c r="I55">
        <v>1050</v>
      </c>
      <c r="J55">
        <v>1.05</v>
      </c>
      <c r="K55">
        <v>0.14099999999999999</v>
      </c>
      <c r="L55">
        <v>4</v>
      </c>
      <c r="M55" t="s">
        <v>129</v>
      </c>
      <c r="N55">
        <v>1</v>
      </c>
    </row>
    <row r="56" spans="1:14" x14ac:dyDescent="0.35">
      <c r="A56">
        <v>747</v>
      </c>
      <c r="B56" t="s">
        <v>130</v>
      </c>
      <c r="C56">
        <v>697</v>
      </c>
      <c r="D56">
        <v>11</v>
      </c>
      <c r="E56" t="s">
        <v>23</v>
      </c>
      <c r="F56">
        <v>19.5</v>
      </c>
      <c r="G56">
        <v>1038</v>
      </c>
      <c r="H56">
        <v>35</v>
      </c>
      <c r="I56">
        <v>1050</v>
      </c>
      <c r="J56">
        <v>1.1399999999999999</v>
      </c>
      <c r="K56">
        <v>0.14099999999999999</v>
      </c>
      <c r="L56">
        <v>3.9</v>
      </c>
      <c r="M56" t="s">
        <v>131</v>
      </c>
      <c r="N56">
        <v>1</v>
      </c>
    </row>
    <row r="57" spans="1:14" x14ac:dyDescent="0.35">
      <c r="A57">
        <v>746</v>
      </c>
      <c r="B57" t="s">
        <v>132</v>
      </c>
      <c r="C57">
        <v>696</v>
      </c>
      <c r="D57">
        <v>11</v>
      </c>
      <c r="E57" t="s">
        <v>23</v>
      </c>
      <c r="F57">
        <v>13.9</v>
      </c>
      <c r="G57">
        <v>1040</v>
      </c>
      <c r="H57">
        <v>35</v>
      </c>
      <c r="I57">
        <v>1050</v>
      </c>
      <c r="J57">
        <v>0.95</v>
      </c>
      <c r="K57">
        <v>0.14099999999999999</v>
      </c>
      <c r="L57">
        <v>4</v>
      </c>
      <c r="M57" t="s">
        <v>133</v>
      </c>
      <c r="N57">
        <v>1</v>
      </c>
    </row>
    <row r="58" spans="1:14" x14ac:dyDescent="0.35">
      <c r="A58">
        <v>745</v>
      </c>
      <c r="B58" t="s">
        <v>134</v>
      </c>
      <c r="C58">
        <v>695</v>
      </c>
      <c r="D58">
        <v>1</v>
      </c>
      <c r="E58" t="s">
        <v>41</v>
      </c>
      <c r="F58">
        <v>2.8</v>
      </c>
      <c r="G58">
        <v>1039</v>
      </c>
      <c r="H58">
        <v>35</v>
      </c>
      <c r="I58">
        <v>1050</v>
      </c>
      <c r="J58">
        <v>1.05</v>
      </c>
      <c r="K58">
        <v>0.14099999999999999</v>
      </c>
      <c r="L58">
        <v>4</v>
      </c>
      <c r="M58" t="s">
        <v>135</v>
      </c>
      <c r="N58">
        <v>1</v>
      </c>
    </row>
    <row r="59" spans="1:14" x14ac:dyDescent="0.35">
      <c r="A59">
        <v>744</v>
      </c>
      <c r="B59" t="s">
        <v>136</v>
      </c>
      <c r="C59">
        <v>694</v>
      </c>
      <c r="D59">
        <v>5</v>
      </c>
      <c r="E59" t="s">
        <v>35</v>
      </c>
      <c r="F59">
        <v>1.1000000000000001</v>
      </c>
      <c r="G59">
        <v>1039</v>
      </c>
      <c r="H59">
        <v>35</v>
      </c>
      <c r="I59">
        <v>1050</v>
      </c>
      <c r="J59">
        <v>1.05</v>
      </c>
      <c r="K59">
        <v>0.14099999999999999</v>
      </c>
      <c r="L59">
        <v>4</v>
      </c>
      <c r="M59" t="s">
        <v>137</v>
      </c>
      <c r="N59">
        <v>1</v>
      </c>
    </row>
    <row r="60" spans="1:14" x14ac:dyDescent="0.35">
      <c r="A60">
        <v>743</v>
      </c>
      <c r="B60" t="s">
        <v>138</v>
      </c>
      <c r="C60">
        <v>693</v>
      </c>
      <c r="D60">
        <v>11</v>
      </c>
      <c r="E60" t="s">
        <v>23</v>
      </c>
      <c r="F60">
        <v>35.4</v>
      </c>
      <c r="G60">
        <v>1038</v>
      </c>
      <c r="H60">
        <v>35</v>
      </c>
      <c r="I60">
        <v>1050</v>
      </c>
      <c r="J60">
        <v>1.1399999999999999</v>
      </c>
      <c r="K60">
        <v>0.14099999999999999</v>
      </c>
      <c r="L60">
        <v>4</v>
      </c>
      <c r="M60" t="s">
        <v>139</v>
      </c>
      <c r="N60">
        <v>1</v>
      </c>
    </row>
    <row r="61" spans="1:14" x14ac:dyDescent="0.35">
      <c r="A61">
        <v>742</v>
      </c>
      <c r="B61" t="s">
        <v>140</v>
      </c>
      <c r="C61">
        <v>692</v>
      </c>
      <c r="D61">
        <v>9</v>
      </c>
      <c r="E61" t="s">
        <v>44</v>
      </c>
      <c r="F61">
        <v>1.5</v>
      </c>
      <c r="G61">
        <v>1040</v>
      </c>
      <c r="H61">
        <v>35</v>
      </c>
      <c r="I61">
        <v>1050</v>
      </c>
      <c r="J61">
        <v>0.95</v>
      </c>
      <c r="K61">
        <v>0.14099999999999999</v>
      </c>
      <c r="L61">
        <v>4</v>
      </c>
      <c r="M61" t="s">
        <v>141</v>
      </c>
      <c r="N61">
        <v>1</v>
      </c>
    </row>
    <row r="62" spans="1:14" x14ac:dyDescent="0.35">
      <c r="A62">
        <v>741</v>
      </c>
      <c r="B62" t="s">
        <v>142</v>
      </c>
      <c r="C62">
        <v>691</v>
      </c>
      <c r="D62">
        <v>4</v>
      </c>
      <c r="E62" t="s">
        <v>28</v>
      </c>
      <c r="F62">
        <v>2.2999999999999998</v>
      </c>
      <c r="G62">
        <v>1041</v>
      </c>
      <c r="H62">
        <v>35</v>
      </c>
      <c r="I62">
        <v>1050</v>
      </c>
      <c r="J62">
        <v>0.86</v>
      </c>
      <c r="K62">
        <v>0.14199999999999999</v>
      </c>
      <c r="L62">
        <v>4</v>
      </c>
      <c r="M62" t="s">
        <v>143</v>
      </c>
      <c r="N62">
        <v>1</v>
      </c>
    </row>
    <row r="63" spans="1:14" x14ac:dyDescent="0.35">
      <c r="A63">
        <v>740</v>
      </c>
      <c r="B63" t="s">
        <v>144</v>
      </c>
      <c r="C63">
        <v>690</v>
      </c>
      <c r="D63">
        <v>11</v>
      </c>
      <c r="E63" t="s">
        <v>23</v>
      </c>
      <c r="F63">
        <v>18.899999999999999</v>
      </c>
      <c r="G63">
        <v>1040</v>
      </c>
      <c r="H63">
        <v>35</v>
      </c>
      <c r="I63">
        <v>1050</v>
      </c>
      <c r="J63">
        <v>0.95</v>
      </c>
      <c r="K63">
        <v>0.14099999999999999</v>
      </c>
      <c r="L63">
        <v>4</v>
      </c>
      <c r="M63" t="s">
        <v>145</v>
      </c>
      <c r="N63">
        <v>1</v>
      </c>
    </row>
    <row r="64" spans="1:14" x14ac:dyDescent="0.35">
      <c r="A64">
        <v>739</v>
      </c>
      <c r="B64" t="s">
        <v>146</v>
      </c>
      <c r="C64">
        <v>689</v>
      </c>
      <c r="D64">
        <v>1</v>
      </c>
      <c r="E64" t="s">
        <v>41</v>
      </c>
      <c r="F64">
        <v>2.8</v>
      </c>
      <c r="G64">
        <v>1041</v>
      </c>
      <c r="H64">
        <v>35</v>
      </c>
      <c r="I64">
        <v>1050</v>
      </c>
      <c r="J64">
        <v>0.86</v>
      </c>
      <c r="K64">
        <v>0.14199999999999999</v>
      </c>
      <c r="L64">
        <v>4</v>
      </c>
      <c r="M64" t="s">
        <v>147</v>
      </c>
      <c r="N64">
        <v>1</v>
      </c>
    </row>
    <row r="65" spans="1:14" x14ac:dyDescent="0.35">
      <c r="A65">
        <v>738</v>
      </c>
      <c r="B65" t="s">
        <v>148</v>
      </c>
      <c r="C65">
        <v>688</v>
      </c>
      <c r="D65">
        <v>8</v>
      </c>
      <c r="E65" t="s">
        <v>38</v>
      </c>
      <c r="F65">
        <v>2.1</v>
      </c>
      <c r="G65">
        <v>1039</v>
      </c>
      <c r="H65">
        <v>35</v>
      </c>
      <c r="I65">
        <v>1050</v>
      </c>
      <c r="J65">
        <v>1.05</v>
      </c>
      <c r="K65">
        <v>0.14099999999999999</v>
      </c>
      <c r="L65">
        <v>4</v>
      </c>
      <c r="M65" t="s">
        <v>149</v>
      </c>
      <c r="N65">
        <v>1</v>
      </c>
    </row>
    <row r="66" spans="1:14" x14ac:dyDescent="0.35">
      <c r="A66">
        <v>737</v>
      </c>
      <c r="B66" t="s">
        <v>150</v>
      </c>
      <c r="C66">
        <v>687</v>
      </c>
      <c r="D66">
        <v>2</v>
      </c>
      <c r="E66" t="s">
        <v>74</v>
      </c>
      <c r="F66">
        <v>1.1000000000000001</v>
      </c>
      <c r="G66">
        <v>1039</v>
      </c>
      <c r="H66">
        <v>35</v>
      </c>
      <c r="I66">
        <v>1050</v>
      </c>
      <c r="J66">
        <v>1.05</v>
      </c>
      <c r="K66">
        <v>0.14099999999999999</v>
      </c>
      <c r="L66">
        <v>4</v>
      </c>
      <c r="M66" t="s">
        <v>151</v>
      </c>
      <c r="N66">
        <v>1</v>
      </c>
    </row>
    <row r="67" spans="1:14" x14ac:dyDescent="0.35">
      <c r="A67">
        <v>736</v>
      </c>
      <c r="B67" t="s">
        <v>152</v>
      </c>
      <c r="C67">
        <v>686</v>
      </c>
      <c r="D67">
        <v>1</v>
      </c>
      <c r="E67" t="s">
        <v>41</v>
      </c>
      <c r="F67">
        <v>2.9</v>
      </c>
      <c r="G67">
        <v>1042</v>
      </c>
      <c r="H67">
        <v>35</v>
      </c>
      <c r="I67">
        <v>1050</v>
      </c>
      <c r="J67">
        <v>0.76</v>
      </c>
      <c r="K67">
        <v>0.14199999999999999</v>
      </c>
      <c r="L67">
        <v>4</v>
      </c>
      <c r="M67" t="s">
        <v>153</v>
      </c>
      <c r="N67">
        <v>1</v>
      </c>
    </row>
    <row r="68" spans="1:14" x14ac:dyDescent="0.35">
      <c r="A68">
        <v>735</v>
      </c>
      <c r="B68" t="s">
        <v>154</v>
      </c>
      <c r="C68">
        <v>685</v>
      </c>
      <c r="D68">
        <v>11</v>
      </c>
      <c r="E68" t="s">
        <v>23</v>
      </c>
      <c r="F68">
        <v>20.399999999999999</v>
      </c>
      <c r="G68">
        <v>1039</v>
      </c>
      <c r="H68">
        <v>35</v>
      </c>
      <c r="I68">
        <v>1050</v>
      </c>
      <c r="J68">
        <v>1.05</v>
      </c>
      <c r="K68">
        <v>0.14099999999999999</v>
      </c>
      <c r="L68">
        <v>4</v>
      </c>
      <c r="M68" t="s">
        <v>155</v>
      </c>
      <c r="N68">
        <v>1</v>
      </c>
    </row>
    <row r="69" spans="1:14" x14ac:dyDescent="0.35">
      <c r="A69">
        <v>734</v>
      </c>
      <c r="B69" t="s">
        <v>156</v>
      </c>
      <c r="C69">
        <v>684</v>
      </c>
      <c r="D69">
        <v>11</v>
      </c>
      <c r="E69" t="s">
        <v>23</v>
      </c>
      <c r="F69">
        <v>19</v>
      </c>
      <c r="G69">
        <v>1039</v>
      </c>
      <c r="H69">
        <v>35</v>
      </c>
      <c r="I69">
        <v>1050</v>
      </c>
      <c r="J69">
        <v>1.05</v>
      </c>
      <c r="K69">
        <v>0.14099999999999999</v>
      </c>
      <c r="L69">
        <v>4</v>
      </c>
      <c r="M69" t="s">
        <v>157</v>
      </c>
      <c r="N69">
        <v>1</v>
      </c>
    </row>
    <row r="70" spans="1:14" x14ac:dyDescent="0.35">
      <c r="A70">
        <v>733</v>
      </c>
      <c r="B70" t="s">
        <v>158</v>
      </c>
      <c r="C70">
        <v>683</v>
      </c>
      <c r="D70">
        <v>11</v>
      </c>
      <c r="E70" t="s">
        <v>23</v>
      </c>
      <c r="F70">
        <v>14.7</v>
      </c>
      <c r="G70">
        <v>1038</v>
      </c>
      <c r="H70">
        <v>35</v>
      </c>
      <c r="I70">
        <v>1050</v>
      </c>
      <c r="J70">
        <v>1.1399999999999999</v>
      </c>
      <c r="K70">
        <v>0.14099999999999999</v>
      </c>
      <c r="L70">
        <v>4</v>
      </c>
      <c r="M70" t="s">
        <v>159</v>
      </c>
      <c r="N70">
        <v>1</v>
      </c>
    </row>
    <row r="71" spans="1:14" x14ac:dyDescent="0.35">
      <c r="A71">
        <v>732</v>
      </c>
      <c r="B71" t="s">
        <v>160</v>
      </c>
      <c r="C71">
        <v>682</v>
      </c>
      <c r="D71">
        <v>11</v>
      </c>
      <c r="E71" t="s">
        <v>23</v>
      </c>
      <c r="F71">
        <v>17.8</v>
      </c>
      <c r="G71">
        <v>1041</v>
      </c>
      <c r="H71">
        <v>35</v>
      </c>
      <c r="I71">
        <v>1050</v>
      </c>
      <c r="J71">
        <v>0.86</v>
      </c>
      <c r="K71">
        <v>0.14199999999999999</v>
      </c>
      <c r="L71">
        <v>4</v>
      </c>
      <c r="M71" t="s">
        <v>161</v>
      </c>
      <c r="N71">
        <v>1</v>
      </c>
    </row>
    <row r="72" spans="1:14" x14ac:dyDescent="0.35">
      <c r="A72">
        <v>731</v>
      </c>
      <c r="B72" t="s">
        <v>162</v>
      </c>
      <c r="C72">
        <v>681</v>
      </c>
      <c r="D72">
        <v>7</v>
      </c>
      <c r="E72" t="s">
        <v>17</v>
      </c>
      <c r="F72">
        <v>2.9</v>
      </c>
      <c r="G72">
        <v>1041</v>
      </c>
      <c r="H72">
        <v>35</v>
      </c>
      <c r="I72">
        <v>1050</v>
      </c>
      <c r="J72">
        <v>0.86</v>
      </c>
      <c r="K72">
        <v>0.14199999999999999</v>
      </c>
      <c r="L72">
        <v>3.9</v>
      </c>
      <c r="M72" t="s">
        <v>163</v>
      </c>
      <c r="N72">
        <v>1</v>
      </c>
    </row>
    <row r="73" spans="1:14" x14ac:dyDescent="0.35">
      <c r="A73">
        <v>730</v>
      </c>
      <c r="B73" t="s">
        <v>164</v>
      </c>
      <c r="C73">
        <v>680</v>
      </c>
      <c r="D73">
        <v>6</v>
      </c>
      <c r="E73" t="s">
        <v>14</v>
      </c>
      <c r="F73">
        <v>1.3</v>
      </c>
      <c r="G73">
        <v>1038</v>
      </c>
      <c r="H73">
        <v>35</v>
      </c>
      <c r="I73">
        <v>1050</v>
      </c>
      <c r="J73">
        <v>1.1399999999999999</v>
      </c>
      <c r="K73">
        <v>0.14099999999999999</v>
      </c>
      <c r="L73">
        <v>4</v>
      </c>
      <c r="M73" t="s">
        <v>165</v>
      </c>
      <c r="N73">
        <v>1</v>
      </c>
    </row>
    <row r="74" spans="1:14" x14ac:dyDescent="0.35">
      <c r="A74">
        <v>729</v>
      </c>
      <c r="B74" t="s">
        <v>166</v>
      </c>
      <c r="C74">
        <v>679</v>
      </c>
      <c r="D74">
        <v>3</v>
      </c>
      <c r="E74" t="s">
        <v>20</v>
      </c>
      <c r="F74">
        <v>1.3</v>
      </c>
      <c r="G74">
        <v>1039</v>
      </c>
      <c r="H74">
        <v>35</v>
      </c>
      <c r="I74">
        <v>1050</v>
      </c>
      <c r="J74">
        <v>1.05</v>
      </c>
      <c r="K74">
        <v>0.14099999999999999</v>
      </c>
      <c r="L74">
        <v>4</v>
      </c>
      <c r="M74" t="s">
        <v>167</v>
      </c>
      <c r="N74">
        <v>1</v>
      </c>
    </row>
    <row r="75" spans="1:14" x14ac:dyDescent="0.35">
      <c r="A75">
        <v>728</v>
      </c>
      <c r="B75" t="s">
        <v>168</v>
      </c>
      <c r="C75">
        <v>678</v>
      </c>
      <c r="D75">
        <v>9</v>
      </c>
      <c r="E75" t="s">
        <v>44</v>
      </c>
      <c r="F75">
        <v>1.4</v>
      </c>
      <c r="G75">
        <v>1039</v>
      </c>
      <c r="H75">
        <v>35</v>
      </c>
      <c r="I75">
        <v>1050</v>
      </c>
      <c r="J75">
        <v>1.05</v>
      </c>
      <c r="K75">
        <v>0.14099999999999999</v>
      </c>
      <c r="L75">
        <v>3.9</v>
      </c>
      <c r="M75" t="s">
        <v>169</v>
      </c>
      <c r="N75">
        <v>1</v>
      </c>
    </row>
    <row r="76" spans="1:14" x14ac:dyDescent="0.35">
      <c r="A76">
        <v>727</v>
      </c>
      <c r="B76" t="s">
        <v>170</v>
      </c>
      <c r="C76">
        <v>677</v>
      </c>
      <c r="D76">
        <v>1</v>
      </c>
      <c r="E76" t="s">
        <v>41</v>
      </c>
      <c r="F76">
        <v>2.9</v>
      </c>
      <c r="G76">
        <v>1038</v>
      </c>
      <c r="H76">
        <v>35</v>
      </c>
      <c r="I76">
        <v>1050</v>
      </c>
      <c r="J76">
        <v>1.1399999999999999</v>
      </c>
      <c r="K76">
        <v>0.14099999999999999</v>
      </c>
      <c r="L76">
        <v>4</v>
      </c>
      <c r="M76" t="s">
        <v>171</v>
      </c>
      <c r="N76">
        <v>1</v>
      </c>
    </row>
    <row r="77" spans="1:14" x14ac:dyDescent="0.35">
      <c r="A77">
        <v>726</v>
      </c>
      <c r="B77" t="s">
        <v>172</v>
      </c>
      <c r="C77">
        <v>676</v>
      </c>
      <c r="D77">
        <v>11</v>
      </c>
      <c r="E77" t="s">
        <v>23</v>
      </c>
      <c r="F77">
        <v>20.2</v>
      </c>
      <c r="G77">
        <v>1040</v>
      </c>
      <c r="H77">
        <v>35</v>
      </c>
      <c r="I77">
        <v>1050</v>
      </c>
      <c r="J77">
        <v>0.95</v>
      </c>
      <c r="K77">
        <v>0.14099999999999999</v>
      </c>
      <c r="L77">
        <v>4</v>
      </c>
      <c r="M77" t="s">
        <v>173</v>
      </c>
      <c r="N77">
        <v>1</v>
      </c>
    </row>
    <row r="78" spans="1:14" x14ac:dyDescent="0.35">
      <c r="A78">
        <v>725</v>
      </c>
      <c r="B78" t="s">
        <v>174</v>
      </c>
      <c r="C78">
        <v>675</v>
      </c>
      <c r="D78">
        <v>4</v>
      </c>
      <c r="E78" t="s">
        <v>28</v>
      </c>
      <c r="F78">
        <v>2.2999999999999998</v>
      </c>
      <c r="G78">
        <v>1041</v>
      </c>
      <c r="H78">
        <v>35</v>
      </c>
      <c r="I78">
        <v>1050</v>
      </c>
      <c r="J78">
        <v>0.86</v>
      </c>
      <c r="K78">
        <v>0.14199999999999999</v>
      </c>
      <c r="L78">
        <v>4</v>
      </c>
      <c r="M78" t="s">
        <v>175</v>
      </c>
      <c r="N78">
        <v>1</v>
      </c>
    </row>
    <row r="79" spans="1:14" x14ac:dyDescent="0.35">
      <c r="A79">
        <v>724</v>
      </c>
      <c r="B79" t="s">
        <v>176</v>
      </c>
      <c r="C79">
        <v>674</v>
      </c>
      <c r="D79">
        <v>12</v>
      </c>
      <c r="E79" t="s">
        <v>59</v>
      </c>
      <c r="F79">
        <v>0</v>
      </c>
      <c r="G79">
        <v>1041</v>
      </c>
      <c r="H79">
        <v>35</v>
      </c>
      <c r="I79">
        <v>1050</v>
      </c>
      <c r="J79">
        <v>0.86</v>
      </c>
      <c r="K79">
        <v>0.14199999999999999</v>
      </c>
      <c r="L79">
        <v>4</v>
      </c>
      <c r="M79" t="s">
        <v>177</v>
      </c>
      <c r="N79">
        <v>1</v>
      </c>
    </row>
    <row r="80" spans="1:14" x14ac:dyDescent="0.35">
      <c r="A80">
        <v>723</v>
      </c>
      <c r="B80" t="s">
        <v>178</v>
      </c>
      <c r="C80">
        <v>673</v>
      </c>
      <c r="D80">
        <v>1</v>
      </c>
      <c r="E80" t="s">
        <v>41</v>
      </c>
      <c r="F80">
        <v>2.9</v>
      </c>
      <c r="G80">
        <v>1039</v>
      </c>
      <c r="H80">
        <v>35</v>
      </c>
      <c r="I80">
        <v>1050</v>
      </c>
      <c r="J80">
        <v>1.05</v>
      </c>
      <c r="K80">
        <v>0.14099999999999999</v>
      </c>
      <c r="L80">
        <v>4</v>
      </c>
      <c r="M80" t="s">
        <v>179</v>
      </c>
      <c r="N80">
        <v>1</v>
      </c>
    </row>
    <row r="81" spans="1:14" x14ac:dyDescent="0.35">
      <c r="A81">
        <v>722</v>
      </c>
      <c r="B81" t="s">
        <v>180</v>
      </c>
      <c r="C81">
        <v>672</v>
      </c>
      <c r="D81">
        <v>5</v>
      </c>
      <c r="E81" t="s">
        <v>35</v>
      </c>
      <c r="F81">
        <v>1.1000000000000001</v>
      </c>
      <c r="G81">
        <v>1039</v>
      </c>
      <c r="H81">
        <v>35</v>
      </c>
      <c r="I81">
        <v>1050</v>
      </c>
      <c r="J81">
        <v>1.05</v>
      </c>
      <c r="K81">
        <v>0.14099999999999999</v>
      </c>
      <c r="L81">
        <v>3.9</v>
      </c>
      <c r="M81" t="s">
        <v>181</v>
      </c>
      <c r="N81">
        <v>1</v>
      </c>
    </row>
    <row r="82" spans="1:14" x14ac:dyDescent="0.35">
      <c r="A82">
        <v>721</v>
      </c>
      <c r="B82" t="s">
        <v>182</v>
      </c>
      <c r="C82">
        <v>671</v>
      </c>
      <c r="D82">
        <v>11</v>
      </c>
      <c r="E82" t="s">
        <v>23</v>
      </c>
      <c r="F82">
        <v>14.1</v>
      </c>
      <c r="G82">
        <v>1038</v>
      </c>
      <c r="H82">
        <v>35</v>
      </c>
      <c r="I82">
        <v>1050</v>
      </c>
      <c r="J82">
        <v>1.1399999999999999</v>
      </c>
      <c r="K82">
        <v>0.14099999999999999</v>
      </c>
      <c r="L82">
        <v>4</v>
      </c>
      <c r="M82" t="s">
        <v>183</v>
      </c>
      <c r="N82">
        <v>1</v>
      </c>
    </row>
    <row r="83" spans="1:14" x14ac:dyDescent="0.35">
      <c r="A83">
        <v>720</v>
      </c>
      <c r="B83" t="s">
        <v>184</v>
      </c>
      <c r="C83">
        <v>670</v>
      </c>
      <c r="D83">
        <v>2</v>
      </c>
      <c r="E83" t="s">
        <v>74</v>
      </c>
      <c r="F83">
        <v>1.1000000000000001</v>
      </c>
      <c r="G83">
        <v>1039</v>
      </c>
      <c r="H83">
        <v>35</v>
      </c>
      <c r="I83">
        <v>1050</v>
      </c>
      <c r="J83">
        <v>1.05</v>
      </c>
      <c r="K83">
        <v>0.14099999999999999</v>
      </c>
      <c r="L83">
        <v>3.9</v>
      </c>
      <c r="M83" t="s">
        <v>185</v>
      </c>
      <c r="N83">
        <v>1</v>
      </c>
    </row>
    <row r="84" spans="1:14" x14ac:dyDescent="0.35">
      <c r="A84">
        <v>719</v>
      </c>
      <c r="B84" t="s">
        <v>186</v>
      </c>
      <c r="C84">
        <v>669</v>
      </c>
      <c r="D84">
        <v>8</v>
      </c>
      <c r="E84" t="s">
        <v>38</v>
      </c>
      <c r="F84">
        <v>2.1</v>
      </c>
      <c r="G84">
        <v>1040</v>
      </c>
      <c r="H84">
        <v>35</v>
      </c>
      <c r="I84">
        <v>1050</v>
      </c>
      <c r="J84">
        <v>0.95</v>
      </c>
      <c r="K84">
        <v>0.14099999999999999</v>
      </c>
      <c r="L84">
        <v>4</v>
      </c>
      <c r="M84" t="s">
        <v>187</v>
      </c>
      <c r="N84">
        <v>1</v>
      </c>
    </row>
    <row r="85" spans="1:14" x14ac:dyDescent="0.35">
      <c r="A85">
        <v>718</v>
      </c>
      <c r="B85" t="s">
        <v>188</v>
      </c>
      <c r="C85">
        <v>668</v>
      </c>
      <c r="D85">
        <v>11</v>
      </c>
      <c r="E85" t="s">
        <v>23</v>
      </c>
      <c r="F85">
        <v>20.5</v>
      </c>
      <c r="G85">
        <v>1039</v>
      </c>
      <c r="H85">
        <v>35</v>
      </c>
      <c r="I85">
        <v>1050</v>
      </c>
      <c r="J85">
        <v>1.05</v>
      </c>
      <c r="K85">
        <v>0.14099999999999999</v>
      </c>
      <c r="L85">
        <v>3.9</v>
      </c>
      <c r="M85" t="s">
        <v>189</v>
      </c>
      <c r="N85">
        <v>1</v>
      </c>
    </row>
    <row r="86" spans="1:14" x14ac:dyDescent="0.35">
      <c r="A86">
        <v>717</v>
      </c>
      <c r="B86" t="s">
        <v>190</v>
      </c>
      <c r="C86">
        <v>667</v>
      </c>
      <c r="D86">
        <v>4</v>
      </c>
      <c r="E86" t="s">
        <v>28</v>
      </c>
      <c r="F86">
        <v>2.2000000000000002</v>
      </c>
      <c r="G86">
        <v>1039</v>
      </c>
      <c r="H86">
        <v>35</v>
      </c>
      <c r="I86">
        <v>1050</v>
      </c>
      <c r="J86">
        <v>1.05</v>
      </c>
      <c r="K86">
        <v>0.14099999999999999</v>
      </c>
      <c r="L86">
        <v>3.9</v>
      </c>
      <c r="M86" t="s">
        <v>191</v>
      </c>
      <c r="N86">
        <v>1</v>
      </c>
    </row>
    <row r="87" spans="1:14" x14ac:dyDescent="0.35">
      <c r="A87">
        <v>716</v>
      </c>
      <c r="B87" t="s">
        <v>192</v>
      </c>
      <c r="C87">
        <v>666</v>
      </c>
      <c r="D87">
        <v>8</v>
      </c>
      <c r="E87" t="s">
        <v>38</v>
      </c>
      <c r="F87">
        <v>2.2999999999999998</v>
      </c>
      <c r="G87">
        <v>1039</v>
      </c>
      <c r="H87">
        <v>35</v>
      </c>
      <c r="I87">
        <v>1050</v>
      </c>
      <c r="J87">
        <v>1.05</v>
      </c>
      <c r="K87">
        <v>0.14099999999999999</v>
      </c>
      <c r="L87">
        <v>4</v>
      </c>
      <c r="M87" t="s">
        <v>193</v>
      </c>
      <c r="N87">
        <v>1</v>
      </c>
    </row>
    <row r="88" spans="1:14" x14ac:dyDescent="0.35">
      <c r="A88">
        <v>715</v>
      </c>
      <c r="B88" t="s">
        <v>194</v>
      </c>
      <c r="C88">
        <v>665</v>
      </c>
      <c r="D88">
        <v>1</v>
      </c>
      <c r="E88" t="s">
        <v>41</v>
      </c>
      <c r="F88">
        <v>2.9</v>
      </c>
      <c r="G88">
        <v>1040</v>
      </c>
      <c r="H88">
        <v>35</v>
      </c>
      <c r="I88">
        <v>1050</v>
      </c>
      <c r="J88">
        <v>0.95</v>
      </c>
      <c r="K88">
        <v>0.14099999999999999</v>
      </c>
      <c r="L88">
        <v>3.9</v>
      </c>
      <c r="M88" t="s">
        <v>195</v>
      </c>
      <c r="N88">
        <v>1</v>
      </c>
    </row>
    <row r="89" spans="1:14" x14ac:dyDescent="0.35">
      <c r="A89">
        <v>714</v>
      </c>
      <c r="B89" t="s">
        <v>196</v>
      </c>
      <c r="C89">
        <v>664</v>
      </c>
      <c r="D89">
        <v>11</v>
      </c>
      <c r="E89" t="s">
        <v>23</v>
      </c>
      <c r="F89">
        <v>6.4</v>
      </c>
      <c r="G89">
        <v>1041</v>
      </c>
      <c r="H89">
        <v>35</v>
      </c>
      <c r="I89">
        <v>1050</v>
      </c>
      <c r="J89">
        <v>0.86</v>
      </c>
      <c r="K89">
        <v>0.14199999999999999</v>
      </c>
      <c r="L89">
        <v>3.9</v>
      </c>
      <c r="M89" t="s">
        <v>197</v>
      </c>
      <c r="N89">
        <v>1</v>
      </c>
    </row>
    <row r="90" spans="1:14" x14ac:dyDescent="0.35">
      <c r="A90">
        <v>713</v>
      </c>
      <c r="B90" t="s">
        <v>198</v>
      </c>
      <c r="C90">
        <v>663</v>
      </c>
      <c r="D90">
        <v>4</v>
      </c>
      <c r="E90" t="s">
        <v>28</v>
      </c>
      <c r="F90">
        <v>2.2999999999999998</v>
      </c>
      <c r="G90">
        <v>1041</v>
      </c>
      <c r="H90">
        <v>35</v>
      </c>
      <c r="I90">
        <v>1050</v>
      </c>
      <c r="J90">
        <v>0.86</v>
      </c>
      <c r="K90">
        <v>0.14199999999999999</v>
      </c>
      <c r="L90">
        <v>3.9</v>
      </c>
      <c r="M90" t="s">
        <v>199</v>
      </c>
      <c r="N90">
        <v>1</v>
      </c>
    </row>
    <row r="91" spans="1:14" x14ac:dyDescent="0.35">
      <c r="A91">
        <v>712</v>
      </c>
      <c r="B91" t="s">
        <v>200</v>
      </c>
      <c r="C91">
        <v>662</v>
      </c>
      <c r="D91">
        <v>6</v>
      </c>
      <c r="E91" t="s">
        <v>14</v>
      </c>
      <c r="F91">
        <v>1.3</v>
      </c>
      <c r="G91">
        <v>1040</v>
      </c>
      <c r="H91">
        <v>35</v>
      </c>
      <c r="I91">
        <v>1050</v>
      </c>
      <c r="J91">
        <v>0.95</v>
      </c>
      <c r="K91">
        <v>0.14099999999999999</v>
      </c>
      <c r="L91">
        <v>4</v>
      </c>
      <c r="M91" t="s">
        <v>201</v>
      </c>
      <c r="N91">
        <v>1</v>
      </c>
    </row>
    <row r="92" spans="1:14" x14ac:dyDescent="0.35">
      <c r="A92">
        <v>711</v>
      </c>
      <c r="B92" t="s">
        <v>202</v>
      </c>
      <c r="C92">
        <v>661</v>
      </c>
      <c r="D92">
        <v>11</v>
      </c>
      <c r="E92" t="s">
        <v>23</v>
      </c>
      <c r="F92">
        <v>15.5</v>
      </c>
      <c r="G92">
        <v>1042</v>
      </c>
      <c r="H92">
        <v>35</v>
      </c>
      <c r="I92">
        <v>1050</v>
      </c>
      <c r="J92">
        <v>0.76</v>
      </c>
      <c r="K92">
        <v>0.14199999999999999</v>
      </c>
      <c r="L92">
        <v>3.1</v>
      </c>
      <c r="M92" t="s">
        <v>203</v>
      </c>
      <c r="N92">
        <v>1</v>
      </c>
    </row>
    <row r="93" spans="1:14" x14ac:dyDescent="0.35">
      <c r="A93">
        <v>710</v>
      </c>
      <c r="B93" t="s">
        <v>204</v>
      </c>
      <c r="C93">
        <v>660</v>
      </c>
      <c r="D93">
        <v>3</v>
      </c>
      <c r="E93" t="s">
        <v>20</v>
      </c>
      <c r="F93">
        <v>0.9</v>
      </c>
      <c r="G93">
        <v>1040</v>
      </c>
      <c r="H93">
        <v>35</v>
      </c>
      <c r="I93">
        <v>1050</v>
      </c>
      <c r="J93">
        <v>0.95</v>
      </c>
      <c r="K93">
        <v>0.14099999999999999</v>
      </c>
      <c r="L93">
        <v>4</v>
      </c>
      <c r="M93" t="s">
        <v>205</v>
      </c>
      <c r="N93">
        <v>1</v>
      </c>
    </row>
    <row r="94" spans="1:14" x14ac:dyDescent="0.35">
      <c r="A94">
        <v>709</v>
      </c>
      <c r="B94" t="s">
        <v>206</v>
      </c>
      <c r="C94">
        <v>659</v>
      </c>
      <c r="D94">
        <v>7</v>
      </c>
      <c r="E94" t="s">
        <v>17</v>
      </c>
      <c r="F94">
        <v>2.8</v>
      </c>
      <c r="G94">
        <v>1040</v>
      </c>
      <c r="H94">
        <v>35</v>
      </c>
      <c r="I94">
        <v>1050</v>
      </c>
      <c r="J94">
        <v>0.95</v>
      </c>
      <c r="K94">
        <v>0.14099999999999999</v>
      </c>
      <c r="L94">
        <v>4</v>
      </c>
      <c r="M94" t="s">
        <v>207</v>
      </c>
      <c r="N94">
        <v>1</v>
      </c>
    </row>
    <row r="95" spans="1:14" x14ac:dyDescent="0.35">
      <c r="A95">
        <v>708</v>
      </c>
      <c r="B95" t="s">
        <v>208</v>
      </c>
      <c r="C95">
        <v>658</v>
      </c>
      <c r="D95">
        <v>11</v>
      </c>
      <c r="E95" t="s">
        <v>23</v>
      </c>
      <c r="F95">
        <v>14.1</v>
      </c>
      <c r="G95">
        <v>1038</v>
      </c>
      <c r="H95">
        <v>35</v>
      </c>
      <c r="I95">
        <v>1050</v>
      </c>
      <c r="J95">
        <v>1.1399999999999999</v>
      </c>
      <c r="K95">
        <v>0.14099999999999999</v>
      </c>
      <c r="L95">
        <v>4</v>
      </c>
      <c r="M95" t="s">
        <v>209</v>
      </c>
      <c r="N95">
        <v>1</v>
      </c>
    </row>
    <row r="96" spans="1:14" x14ac:dyDescent="0.35">
      <c r="A96">
        <v>707</v>
      </c>
      <c r="B96" t="s">
        <v>210</v>
      </c>
      <c r="C96">
        <v>657</v>
      </c>
      <c r="D96">
        <v>9</v>
      </c>
      <c r="E96" t="s">
        <v>44</v>
      </c>
      <c r="F96">
        <v>1</v>
      </c>
      <c r="G96">
        <v>1041</v>
      </c>
      <c r="H96">
        <v>35</v>
      </c>
      <c r="I96">
        <v>1050</v>
      </c>
      <c r="J96">
        <v>0.86</v>
      </c>
      <c r="K96">
        <v>0.14199999999999999</v>
      </c>
      <c r="L96">
        <v>3.9</v>
      </c>
      <c r="M96" t="s">
        <v>211</v>
      </c>
      <c r="N96">
        <v>1</v>
      </c>
    </row>
    <row r="97" spans="1:14" x14ac:dyDescent="0.35">
      <c r="A97">
        <v>706</v>
      </c>
      <c r="B97" t="s">
        <v>212</v>
      </c>
      <c r="C97">
        <v>656</v>
      </c>
      <c r="D97">
        <v>6</v>
      </c>
      <c r="E97" t="s">
        <v>14</v>
      </c>
      <c r="F97">
        <v>1.2</v>
      </c>
      <c r="G97">
        <v>1039</v>
      </c>
      <c r="H97">
        <v>35</v>
      </c>
      <c r="I97">
        <v>1050</v>
      </c>
      <c r="J97">
        <v>1.05</v>
      </c>
      <c r="K97">
        <v>0.14099999999999999</v>
      </c>
      <c r="L97">
        <v>4</v>
      </c>
      <c r="M97" t="s">
        <v>213</v>
      </c>
      <c r="N97">
        <v>1</v>
      </c>
    </row>
    <row r="98" spans="1:14" x14ac:dyDescent="0.35">
      <c r="A98">
        <v>705</v>
      </c>
      <c r="B98" t="s">
        <v>214</v>
      </c>
      <c r="C98">
        <v>655</v>
      </c>
      <c r="D98">
        <v>11</v>
      </c>
      <c r="E98" t="s">
        <v>23</v>
      </c>
      <c r="F98">
        <v>20.3</v>
      </c>
      <c r="G98">
        <v>1039</v>
      </c>
      <c r="H98">
        <v>35</v>
      </c>
      <c r="I98">
        <v>1050</v>
      </c>
      <c r="J98">
        <v>1.05</v>
      </c>
      <c r="K98">
        <v>0.14099999999999999</v>
      </c>
      <c r="L98">
        <v>4</v>
      </c>
      <c r="M98" t="s">
        <v>215</v>
      </c>
      <c r="N98">
        <v>1</v>
      </c>
    </row>
    <row r="99" spans="1:14" x14ac:dyDescent="0.35">
      <c r="A99">
        <v>704</v>
      </c>
      <c r="B99" t="s">
        <v>216</v>
      </c>
      <c r="C99">
        <v>654</v>
      </c>
      <c r="D99">
        <v>4</v>
      </c>
      <c r="E99" t="s">
        <v>28</v>
      </c>
      <c r="F99">
        <v>2.2000000000000002</v>
      </c>
      <c r="G99">
        <v>1038</v>
      </c>
      <c r="H99">
        <v>35</v>
      </c>
      <c r="I99">
        <v>1050</v>
      </c>
      <c r="J99">
        <v>1.1399999999999999</v>
      </c>
      <c r="K99">
        <v>0.14099999999999999</v>
      </c>
      <c r="L99">
        <v>4</v>
      </c>
      <c r="M99" t="s">
        <v>217</v>
      </c>
      <c r="N99">
        <v>1</v>
      </c>
    </row>
    <row r="100" spans="1:14" x14ac:dyDescent="0.35">
      <c r="A100">
        <v>703</v>
      </c>
      <c r="B100" t="s">
        <v>218</v>
      </c>
      <c r="C100">
        <v>653</v>
      </c>
      <c r="D100">
        <v>2</v>
      </c>
      <c r="E100" t="s">
        <v>74</v>
      </c>
      <c r="F100">
        <v>1.2</v>
      </c>
      <c r="G100">
        <v>1039</v>
      </c>
      <c r="H100">
        <v>35</v>
      </c>
      <c r="I100">
        <v>1050</v>
      </c>
      <c r="J100">
        <v>1.05</v>
      </c>
      <c r="K100">
        <v>0.14099999999999999</v>
      </c>
      <c r="L100">
        <v>3.9</v>
      </c>
      <c r="M100" t="s">
        <v>219</v>
      </c>
      <c r="N100">
        <v>1</v>
      </c>
    </row>
    <row r="101" spans="1:14" x14ac:dyDescent="0.35">
      <c r="A101">
        <v>702</v>
      </c>
      <c r="B101" t="s">
        <v>220</v>
      </c>
      <c r="C101">
        <v>652</v>
      </c>
      <c r="D101">
        <v>6</v>
      </c>
      <c r="E101" t="s">
        <v>14</v>
      </c>
      <c r="F101">
        <v>1</v>
      </c>
      <c r="G101">
        <v>1041</v>
      </c>
      <c r="H101">
        <v>35</v>
      </c>
      <c r="I101">
        <v>1050</v>
      </c>
      <c r="J101">
        <v>0.86</v>
      </c>
      <c r="K101">
        <v>0.14199999999999999</v>
      </c>
      <c r="L101">
        <v>4</v>
      </c>
      <c r="M101" t="s">
        <v>221</v>
      </c>
      <c r="N101">
        <v>1</v>
      </c>
    </row>
    <row r="102" spans="1:14" x14ac:dyDescent="0.35">
      <c r="A102">
        <v>701</v>
      </c>
      <c r="B102" t="s">
        <v>222</v>
      </c>
      <c r="C102">
        <v>651</v>
      </c>
      <c r="D102">
        <v>1</v>
      </c>
      <c r="E102" t="s">
        <v>41</v>
      </c>
      <c r="F102">
        <v>2.9</v>
      </c>
      <c r="G102">
        <v>1041</v>
      </c>
      <c r="H102">
        <v>35</v>
      </c>
      <c r="I102">
        <v>1050</v>
      </c>
      <c r="J102">
        <v>0.86</v>
      </c>
      <c r="K102">
        <v>0.14199999999999999</v>
      </c>
      <c r="L102">
        <v>4</v>
      </c>
      <c r="M102" t="s">
        <v>223</v>
      </c>
      <c r="N102">
        <v>1</v>
      </c>
    </row>
    <row r="103" spans="1:14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35">
      <c r="A104">
        <v>700</v>
      </c>
      <c r="B104" t="s">
        <v>224</v>
      </c>
      <c r="C104">
        <v>650</v>
      </c>
      <c r="D104">
        <v>8</v>
      </c>
      <c r="E104" t="s">
        <v>38</v>
      </c>
      <c r="F104">
        <v>2.2999999999999998</v>
      </c>
      <c r="G104">
        <v>888</v>
      </c>
      <c r="H104">
        <v>30</v>
      </c>
      <c r="I104">
        <v>900</v>
      </c>
      <c r="J104">
        <v>1.33</v>
      </c>
      <c r="K104">
        <v>0.121</v>
      </c>
      <c r="L104">
        <v>4.5999999999999996</v>
      </c>
      <c r="M104" t="s">
        <v>225</v>
      </c>
      <c r="N104">
        <v>1</v>
      </c>
    </row>
    <row r="105" spans="1:14" x14ac:dyDescent="0.35">
      <c r="A105">
        <v>699</v>
      </c>
      <c r="B105" t="s">
        <v>226</v>
      </c>
      <c r="C105">
        <v>649</v>
      </c>
      <c r="D105">
        <v>2</v>
      </c>
      <c r="E105" t="s">
        <v>74</v>
      </c>
      <c r="F105">
        <v>1.2</v>
      </c>
      <c r="G105">
        <v>886</v>
      </c>
      <c r="H105">
        <v>30</v>
      </c>
      <c r="I105">
        <v>900</v>
      </c>
      <c r="J105">
        <v>1.56</v>
      </c>
      <c r="K105">
        <v>0.12</v>
      </c>
      <c r="L105">
        <v>4.7</v>
      </c>
      <c r="M105" t="s">
        <v>227</v>
      </c>
      <c r="N105">
        <v>1</v>
      </c>
    </row>
    <row r="106" spans="1:14" x14ac:dyDescent="0.35">
      <c r="A106">
        <v>698</v>
      </c>
      <c r="B106" t="s">
        <v>228</v>
      </c>
      <c r="C106">
        <v>648</v>
      </c>
      <c r="D106">
        <v>6</v>
      </c>
      <c r="E106" t="s">
        <v>14</v>
      </c>
      <c r="F106">
        <v>1.2</v>
      </c>
      <c r="G106">
        <v>889</v>
      </c>
      <c r="H106">
        <v>30</v>
      </c>
      <c r="I106">
        <v>900</v>
      </c>
      <c r="J106">
        <v>1.22</v>
      </c>
      <c r="K106">
        <v>0.121</v>
      </c>
      <c r="L106">
        <v>4.5999999999999996</v>
      </c>
      <c r="M106" t="s">
        <v>229</v>
      </c>
      <c r="N106">
        <v>1</v>
      </c>
    </row>
    <row r="107" spans="1:14" x14ac:dyDescent="0.35">
      <c r="A107">
        <v>697</v>
      </c>
      <c r="B107" t="s">
        <v>230</v>
      </c>
      <c r="C107">
        <v>647</v>
      </c>
      <c r="D107">
        <v>8</v>
      </c>
      <c r="E107" t="s">
        <v>38</v>
      </c>
      <c r="F107">
        <v>2.4</v>
      </c>
      <c r="G107">
        <v>889</v>
      </c>
      <c r="H107">
        <v>30</v>
      </c>
      <c r="I107">
        <v>900</v>
      </c>
      <c r="J107">
        <v>1.22</v>
      </c>
      <c r="K107">
        <v>0.121</v>
      </c>
      <c r="L107">
        <v>4.7</v>
      </c>
      <c r="M107" t="s">
        <v>231</v>
      </c>
      <c r="N107">
        <v>1</v>
      </c>
    </row>
    <row r="108" spans="1:14" x14ac:dyDescent="0.35">
      <c r="A108">
        <v>696</v>
      </c>
      <c r="B108" t="s">
        <v>232</v>
      </c>
      <c r="C108">
        <v>646</v>
      </c>
      <c r="D108">
        <v>11</v>
      </c>
      <c r="E108" t="s">
        <v>23</v>
      </c>
      <c r="F108">
        <v>17</v>
      </c>
      <c r="G108">
        <v>887</v>
      </c>
      <c r="H108">
        <v>30</v>
      </c>
      <c r="I108">
        <v>900</v>
      </c>
      <c r="J108">
        <v>1.44</v>
      </c>
      <c r="K108">
        <v>0.121</v>
      </c>
      <c r="L108">
        <v>4.5999999999999996</v>
      </c>
      <c r="M108" t="s">
        <v>233</v>
      </c>
      <c r="N108">
        <v>1</v>
      </c>
    </row>
    <row r="109" spans="1:14" x14ac:dyDescent="0.35">
      <c r="A109">
        <v>695</v>
      </c>
      <c r="B109" t="s">
        <v>234</v>
      </c>
      <c r="C109" s="3">
        <v>645</v>
      </c>
      <c r="D109">
        <v>3</v>
      </c>
      <c r="E109" t="s">
        <v>20</v>
      </c>
      <c r="F109">
        <v>3.3</v>
      </c>
      <c r="G109">
        <v>889</v>
      </c>
      <c r="H109">
        <v>30</v>
      </c>
      <c r="I109">
        <v>900</v>
      </c>
      <c r="J109">
        <v>1.22</v>
      </c>
      <c r="K109">
        <v>0.121</v>
      </c>
      <c r="L109">
        <v>4.7</v>
      </c>
      <c r="M109" t="s">
        <v>235</v>
      </c>
      <c r="N109">
        <v>0</v>
      </c>
    </row>
    <row r="110" spans="1:14" x14ac:dyDescent="0.35">
      <c r="A110">
        <v>694</v>
      </c>
      <c r="B110" t="s">
        <v>236</v>
      </c>
      <c r="C110">
        <v>644</v>
      </c>
      <c r="D110">
        <v>3</v>
      </c>
      <c r="E110" t="s">
        <v>20</v>
      </c>
      <c r="F110">
        <v>1.2</v>
      </c>
      <c r="G110">
        <v>886</v>
      </c>
      <c r="H110">
        <v>30</v>
      </c>
      <c r="I110">
        <v>900</v>
      </c>
      <c r="J110">
        <v>1.56</v>
      </c>
      <c r="K110">
        <v>0.12</v>
      </c>
      <c r="L110">
        <v>4.5999999999999996</v>
      </c>
      <c r="M110" t="s">
        <v>237</v>
      </c>
      <c r="N110">
        <v>1</v>
      </c>
    </row>
    <row r="111" spans="1:14" x14ac:dyDescent="0.35">
      <c r="A111">
        <v>693</v>
      </c>
      <c r="B111" t="s">
        <v>238</v>
      </c>
      <c r="C111">
        <v>643</v>
      </c>
      <c r="D111">
        <v>9</v>
      </c>
      <c r="E111" t="s">
        <v>44</v>
      </c>
      <c r="F111">
        <v>1.4</v>
      </c>
      <c r="G111">
        <v>886</v>
      </c>
      <c r="H111">
        <v>30</v>
      </c>
      <c r="I111">
        <v>900</v>
      </c>
      <c r="J111">
        <v>1.56</v>
      </c>
      <c r="K111">
        <v>0.12</v>
      </c>
      <c r="L111">
        <v>4.7</v>
      </c>
      <c r="M111" t="s">
        <v>239</v>
      </c>
      <c r="N111">
        <v>1</v>
      </c>
    </row>
    <row r="112" spans="1:14" x14ac:dyDescent="0.35">
      <c r="A112">
        <v>692</v>
      </c>
      <c r="B112" t="s">
        <v>240</v>
      </c>
      <c r="C112">
        <v>642</v>
      </c>
      <c r="D112">
        <v>7</v>
      </c>
      <c r="E112" t="s">
        <v>17</v>
      </c>
      <c r="F112">
        <v>2.8</v>
      </c>
      <c r="G112">
        <v>890</v>
      </c>
      <c r="H112">
        <v>30</v>
      </c>
      <c r="I112">
        <v>900</v>
      </c>
      <c r="J112">
        <v>1.1100000000000001</v>
      </c>
      <c r="K112">
        <v>0.121</v>
      </c>
      <c r="L112">
        <v>4.5999999999999996</v>
      </c>
      <c r="M112" t="s">
        <v>241</v>
      </c>
      <c r="N112">
        <v>1</v>
      </c>
    </row>
    <row r="113" spans="1:14" x14ac:dyDescent="0.35">
      <c r="A113">
        <v>691</v>
      </c>
      <c r="B113" t="s">
        <v>242</v>
      </c>
      <c r="C113">
        <v>641</v>
      </c>
      <c r="D113">
        <v>3</v>
      </c>
      <c r="E113" t="s">
        <v>20</v>
      </c>
      <c r="F113">
        <v>1.2</v>
      </c>
      <c r="G113">
        <v>886</v>
      </c>
      <c r="H113">
        <v>30</v>
      </c>
      <c r="I113">
        <v>900</v>
      </c>
      <c r="J113">
        <v>1.56</v>
      </c>
      <c r="K113">
        <v>0.121</v>
      </c>
      <c r="L113">
        <v>4.7</v>
      </c>
      <c r="M113" t="s">
        <v>243</v>
      </c>
      <c r="N113">
        <v>1</v>
      </c>
    </row>
    <row r="114" spans="1:14" x14ac:dyDescent="0.35">
      <c r="A114">
        <v>690</v>
      </c>
      <c r="B114" t="s">
        <v>244</v>
      </c>
      <c r="C114">
        <v>640</v>
      </c>
      <c r="D114">
        <v>9</v>
      </c>
      <c r="E114" t="s">
        <v>44</v>
      </c>
      <c r="F114">
        <v>1.2</v>
      </c>
      <c r="G114">
        <v>888</v>
      </c>
      <c r="H114">
        <v>30</v>
      </c>
      <c r="I114">
        <v>900</v>
      </c>
      <c r="J114">
        <v>1.33</v>
      </c>
      <c r="K114">
        <v>0.121</v>
      </c>
      <c r="L114">
        <v>4.7</v>
      </c>
      <c r="M114" t="s">
        <v>245</v>
      </c>
      <c r="N114">
        <v>1</v>
      </c>
    </row>
    <row r="115" spans="1:14" x14ac:dyDescent="0.35">
      <c r="A115">
        <v>689</v>
      </c>
      <c r="B115" t="s">
        <v>246</v>
      </c>
      <c r="C115">
        <v>639</v>
      </c>
      <c r="D115">
        <v>11</v>
      </c>
      <c r="E115" t="s">
        <v>23</v>
      </c>
      <c r="F115">
        <v>18.899999999999999</v>
      </c>
      <c r="G115">
        <v>888</v>
      </c>
      <c r="H115">
        <v>30</v>
      </c>
      <c r="I115">
        <v>900</v>
      </c>
      <c r="J115">
        <v>1.33</v>
      </c>
      <c r="K115">
        <v>0.121</v>
      </c>
      <c r="L115">
        <v>4.7</v>
      </c>
      <c r="M115" t="s">
        <v>247</v>
      </c>
      <c r="N115">
        <v>1</v>
      </c>
    </row>
    <row r="116" spans="1:14" x14ac:dyDescent="0.35">
      <c r="A116">
        <v>688</v>
      </c>
      <c r="B116" t="s">
        <v>248</v>
      </c>
      <c r="C116">
        <v>638</v>
      </c>
      <c r="D116">
        <v>11</v>
      </c>
      <c r="E116" t="s">
        <v>23</v>
      </c>
      <c r="F116">
        <v>14.6</v>
      </c>
      <c r="G116">
        <v>886</v>
      </c>
      <c r="H116">
        <v>30</v>
      </c>
      <c r="I116">
        <v>900</v>
      </c>
      <c r="J116">
        <v>1.56</v>
      </c>
      <c r="K116">
        <v>0.12</v>
      </c>
      <c r="L116">
        <v>4.7</v>
      </c>
      <c r="M116" t="s">
        <v>249</v>
      </c>
      <c r="N116">
        <v>1</v>
      </c>
    </row>
    <row r="117" spans="1:14" x14ac:dyDescent="0.35">
      <c r="A117">
        <v>687</v>
      </c>
      <c r="B117" t="s">
        <v>250</v>
      </c>
      <c r="C117">
        <v>637</v>
      </c>
      <c r="D117">
        <v>9</v>
      </c>
      <c r="E117" t="s">
        <v>44</v>
      </c>
      <c r="F117">
        <v>1.1000000000000001</v>
      </c>
      <c r="G117">
        <v>888</v>
      </c>
      <c r="H117">
        <v>30</v>
      </c>
      <c r="I117">
        <v>900</v>
      </c>
      <c r="J117">
        <v>1.33</v>
      </c>
      <c r="K117">
        <v>0.121</v>
      </c>
      <c r="L117">
        <v>4.5999999999999996</v>
      </c>
      <c r="M117" t="s">
        <v>251</v>
      </c>
      <c r="N117">
        <v>1</v>
      </c>
    </row>
    <row r="118" spans="1:14" x14ac:dyDescent="0.35">
      <c r="A118">
        <v>686</v>
      </c>
      <c r="B118" t="s">
        <v>252</v>
      </c>
      <c r="C118">
        <v>636</v>
      </c>
      <c r="D118">
        <v>5</v>
      </c>
      <c r="E118" t="s">
        <v>35</v>
      </c>
      <c r="F118">
        <v>1.1000000000000001</v>
      </c>
      <c r="G118">
        <v>891</v>
      </c>
      <c r="H118">
        <v>30</v>
      </c>
      <c r="I118">
        <v>900</v>
      </c>
      <c r="J118">
        <v>1</v>
      </c>
      <c r="K118">
        <v>0.121</v>
      </c>
      <c r="L118">
        <v>4.5999999999999996</v>
      </c>
      <c r="M118" t="s">
        <v>253</v>
      </c>
      <c r="N118">
        <v>1</v>
      </c>
    </row>
    <row r="119" spans="1:14" x14ac:dyDescent="0.35">
      <c r="A119">
        <v>685</v>
      </c>
      <c r="B119" t="s">
        <v>254</v>
      </c>
      <c r="C119">
        <v>635</v>
      </c>
      <c r="D119">
        <v>11</v>
      </c>
      <c r="E119" t="s">
        <v>23</v>
      </c>
      <c r="F119">
        <v>43.4</v>
      </c>
      <c r="G119">
        <v>888</v>
      </c>
      <c r="H119">
        <v>30</v>
      </c>
      <c r="I119">
        <v>900</v>
      </c>
      <c r="J119">
        <v>1.33</v>
      </c>
      <c r="K119">
        <v>0.121</v>
      </c>
      <c r="L119">
        <v>4.5999999999999996</v>
      </c>
      <c r="M119" t="s">
        <v>255</v>
      </c>
      <c r="N119">
        <v>1</v>
      </c>
    </row>
    <row r="120" spans="1:14" x14ac:dyDescent="0.35">
      <c r="A120">
        <v>684</v>
      </c>
      <c r="B120" t="s">
        <v>256</v>
      </c>
      <c r="C120">
        <v>634</v>
      </c>
      <c r="D120">
        <v>1</v>
      </c>
      <c r="E120" t="s">
        <v>41</v>
      </c>
      <c r="F120">
        <v>2.8</v>
      </c>
      <c r="G120">
        <v>888</v>
      </c>
      <c r="H120">
        <v>30</v>
      </c>
      <c r="I120">
        <v>900</v>
      </c>
      <c r="J120">
        <v>1.33</v>
      </c>
      <c r="K120">
        <v>0.121</v>
      </c>
      <c r="L120">
        <v>4.5999999999999996</v>
      </c>
      <c r="M120" t="s">
        <v>257</v>
      </c>
      <c r="N120">
        <v>1</v>
      </c>
    </row>
    <row r="121" spans="1:14" x14ac:dyDescent="0.35">
      <c r="A121">
        <v>683</v>
      </c>
      <c r="B121" t="s">
        <v>258</v>
      </c>
      <c r="C121">
        <v>633</v>
      </c>
      <c r="D121">
        <v>4</v>
      </c>
      <c r="E121" t="s">
        <v>28</v>
      </c>
      <c r="F121">
        <v>2.2999999999999998</v>
      </c>
      <c r="G121">
        <v>889</v>
      </c>
      <c r="H121">
        <v>30</v>
      </c>
      <c r="I121">
        <v>900</v>
      </c>
      <c r="J121">
        <v>1.22</v>
      </c>
      <c r="K121">
        <v>0.121</v>
      </c>
      <c r="L121">
        <v>4.7</v>
      </c>
      <c r="M121" t="s">
        <v>259</v>
      </c>
      <c r="N121">
        <v>1</v>
      </c>
    </row>
    <row r="122" spans="1:14" x14ac:dyDescent="0.35">
      <c r="A122">
        <v>682</v>
      </c>
      <c r="B122" t="s">
        <v>260</v>
      </c>
      <c r="C122">
        <v>632</v>
      </c>
      <c r="D122">
        <v>11</v>
      </c>
      <c r="E122" t="s">
        <v>23</v>
      </c>
      <c r="F122">
        <v>39.700000000000003</v>
      </c>
      <c r="G122">
        <v>888</v>
      </c>
      <c r="H122">
        <v>30</v>
      </c>
      <c r="I122">
        <v>900</v>
      </c>
      <c r="J122">
        <v>1.33</v>
      </c>
      <c r="K122">
        <v>0.121</v>
      </c>
      <c r="L122">
        <v>4.7</v>
      </c>
      <c r="M122" t="s">
        <v>261</v>
      </c>
      <c r="N122">
        <v>1</v>
      </c>
    </row>
    <row r="123" spans="1:14" x14ac:dyDescent="0.35">
      <c r="A123">
        <v>681</v>
      </c>
      <c r="B123" t="s">
        <v>262</v>
      </c>
      <c r="C123">
        <v>631</v>
      </c>
      <c r="D123">
        <v>11</v>
      </c>
      <c r="E123" t="s">
        <v>23</v>
      </c>
      <c r="F123">
        <v>15.2</v>
      </c>
      <c r="G123">
        <v>889</v>
      </c>
      <c r="H123">
        <v>30</v>
      </c>
      <c r="I123">
        <v>900</v>
      </c>
      <c r="J123">
        <v>1.22</v>
      </c>
      <c r="K123">
        <v>0.121</v>
      </c>
      <c r="L123">
        <v>4.7</v>
      </c>
      <c r="M123" t="s">
        <v>263</v>
      </c>
      <c r="N123">
        <v>1</v>
      </c>
    </row>
    <row r="124" spans="1:14" x14ac:dyDescent="0.35">
      <c r="A124">
        <v>680</v>
      </c>
      <c r="B124" t="s">
        <v>264</v>
      </c>
      <c r="C124">
        <v>630</v>
      </c>
      <c r="D124">
        <v>5</v>
      </c>
      <c r="E124" t="s">
        <v>35</v>
      </c>
      <c r="F124">
        <v>1</v>
      </c>
      <c r="G124">
        <v>889</v>
      </c>
      <c r="H124">
        <v>30</v>
      </c>
      <c r="I124">
        <v>900</v>
      </c>
      <c r="J124">
        <v>1.22</v>
      </c>
      <c r="K124">
        <v>0.121</v>
      </c>
      <c r="L124">
        <v>4.7</v>
      </c>
      <c r="M124" t="s">
        <v>265</v>
      </c>
      <c r="N124">
        <v>1</v>
      </c>
    </row>
    <row r="125" spans="1:14" x14ac:dyDescent="0.35">
      <c r="A125">
        <v>679</v>
      </c>
      <c r="B125" t="s">
        <v>266</v>
      </c>
      <c r="C125">
        <v>629</v>
      </c>
      <c r="D125">
        <v>11</v>
      </c>
      <c r="E125" t="s">
        <v>23</v>
      </c>
      <c r="F125">
        <v>21</v>
      </c>
      <c r="G125">
        <v>889</v>
      </c>
      <c r="H125">
        <v>30</v>
      </c>
      <c r="I125">
        <v>900</v>
      </c>
      <c r="J125">
        <v>1.22</v>
      </c>
      <c r="K125">
        <v>0.121</v>
      </c>
      <c r="L125">
        <v>4.5999999999999996</v>
      </c>
      <c r="M125" t="s">
        <v>267</v>
      </c>
      <c r="N125">
        <v>1</v>
      </c>
    </row>
    <row r="126" spans="1:14" x14ac:dyDescent="0.35">
      <c r="A126">
        <v>678</v>
      </c>
      <c r="B126" t="s">
        <v>268</v>
      </c>
      <c r="C126">
        <v>628</v>
      </c>
      <c r="D126">
        <v>4</v>
      </c>
      <c r="E126" t="s">
        <v>28</v>
      </c>
      <c r="F126">
        <v>2.2999999999999998</v>
      </c>
      <c r="G126">
        <v>888</v>
      </c>
      <c r="H126">
        <v>30</v>
      </c>
      <c r="I126">
        <v>900</v>
      </c>
      <c r="J126">
        <v>1.33</v>
      </c>
      <c r="K126">
        <v>0.121</v>
      </c>
      <c r="L126">
        <v>3.7</v>
      </c>
      <c r="M126" t="s">
        <v>269</v>
      </c>
      <c r="N126">
        <v>1</v>
      </c>
    </row>
    <row r="127" spans="1:14" x14ac:dyDescent="0.35">
      <c r="A127">
        <v>677</v>
      </c>
      <c r="B127" t="s">
        <v>270</v>
      </c>
      <c r="C127">
        <v>627</v>
      </c>
      <c r="D127">
        <v>9</v>
      </c>
      <c r="E127" t="s">
        <v>44</v>
      </c>
      <c r="F127">
        <v>1.2</v>
      </c>
      <c r="G127">
        <v>888</v>
      </c>
      <c r="H127">
        <v>30</v>
      </c>
      <c r="I127">
        <v>900</v>
      </c>
      <c r="J127">
        <v>1.33</v>
      </c>
      <c r="K127">
        <v>0.121</v>
      </c>
      <c r="L127">
        <v>4.5999999999999996</v>
      </c>
      <c r="M127" t="s">
        <v>271</v>
      </c>
      <c r="N127">
        <v>1</v>
      </c>
    </row>
    <row r="128" spans="1:14" x14ac:dyDescent="0.35">
      <c r="A128">
        <v>676</v>
      </c>
      <c r="B128" t="s">
        <v>272</v>
      </c>
      <c r="C128">
        <v>626</v>
      </c>
      <c r="D128">
        <v>3</v>
      </c>
      <c r="E128" t="s">
        <v>20</v>
      </c>
      <c r="F128">
        <v>1.2</v>
      </c>
      <c r="G128">
        <v>889</v>
      </c>
      <c r="H128">
        <v>30</v>
      </c>
      <c r="I128">
        <v>900</v>
      </c>
      <c r="J128">
        <v>1.22</v>
      </c>
      <c r="K128">
        <v>0.121</v>
      </c>
      <c r="L128">
        <v>4.7</v>
      </c>
      <c r="M128" t="s">
        <v>273</v>
      </c>
      <c r="N128">
        <v>1</v>
      </c>
    </row>
    <row r="129" spans="1:14" x14ac:dyDescent="0.35">
      <c r="A129">
        <v>675</v>
      </c>
      <c r="B129" t="s">
        <v>274</v>
      </c>
      <c r="C129">
        <v>625</v>
      </c>
      <c r="D129">
        <v>8</v>
      </c>
      <c r="E129" t="s">
        <v>38</v>
      </c>
      <c r="F129">
        <v>2.4</v>
      </c>
      <c r="G129">
        <v>888</v>
      </c>
      <c r="H129">
        <v>30</v>
      </c>
      <c r="I129">
        <v>900</v>
      </c>
      <c r="J129">
        <v>1.33</v>
      </c>
      <c r="K129">
        <v>0.121</v>
      </c>
      <c r="L129">
        <v>4.7</v>
      </c>
      <c r="M129" t="s">
        <v>275</v>
      </c>
      <c r="N129">
        <v>1</v>
      </c>
    </row>
    <row r="130" spans="1:14" x14ac:dyDescent="0.35">
      <c r="A130">
        <v>674</v>
      </c>
      <c r="B130" t="s">
        <v>276</v>
      </c>
      <c r="C130">
        <v>624</v>
      </c>
      <c r="D130">
        <v>9</v>
      </c>
      <c r="E130" t="s">
        <v>44</v>
      </c>
      <c r="F130">
        <v>1.2</v>
      </c>
      <c r="G130">
        <v>888</v>
      </c>
      <c r="H130">
        <v>30</v>
      </c>
      <c r="I130">
        <v>900</v>
      </c>
      <c r="J130">
        <v>1.33</v>
      </c>
      <c r="K130">
        <v>0.121</v>
      </c>
      <c r="L130">
        <v>4.7</v>
      </c>
      <c r="M130" t="s">
        <v>277</v>
      </c>
      <c r="N130">
        <v>1</v>
      </c>
    </row>
    <row r="131" spans="1:14" x14ac:dyDescent="0.35">
      <c r="A131">
        <v>673</v>
      </c>
      <c r="B131" t="s">
        <v>278</v>
      </c>
      <c r="C131">
        <v>623</v>
      </c>
      <c r="D131">
        <v>11</v>
      </c>
      <c r="E131" t="s">
        <v>23</v>
      </c>
      <c r="F131">
        <v>17.7</v>
      </c>
      <c r="G131">
        <v>888</v>
      </c>
      <c r="H131">
        <v>30</v>
      </c>
      <c r="I131">
        <v>900</v>
      </c>
      <c r="J131">
        <v>1.33</v>
      </c>
      <c r="K131">
        <v>0.121</v>
      </c>
      <c r="L131">
        <v>4.5999999999999996</v>
      </c>
      <c r="M131" t="s">
        <v>279</v>
      </c>
      <c r="N131">
        <v>1</v>
      </c>
    </row>
    <row r="132" spans="1:14" x14ac:dyDescent="0.35">
      <c r="A132">
        <v>672</v>
      </c>
      <c r="B132" t="s">
        <v>280</v>
      </c>
      <c r="C132">
        <v>622</v>
      </c>
      <c r="D132">
        <v>6</v>
      </c>
      <c r="E132" t="s">
        <v>14</v>
      </c>
      <c r="F132">
        <v>1.2</v>
      </c>
      <c r="G132">
        <v>885</v>
      </c>
      <c r="H132">
        <v>30</v>
      </c>
      <c r="I132">
        <v>900</v>
      </c>
      <c r="J132">
        <v>1.67</v>
      </c>
      <c r="K132">
        <v>0.12</v>
      </c>
      <c r="L132">
        <v>4.7</v>
      </c>
      <c r="M132" t="s">
        <v>281</v>
      </c>
      <c r="N132">
        <v>1</v>
      </c>
    </row>
    <row r="133" spans="1:14" x14ac:dyDescent="0.35">
      <c r="A133">
        <v>671</v>
      </c>
      <c r="B133" t="s">
        <v>282</v>
      </c>
      <c r="C133">
        <v>621</v>
      </c>
      <c r="D133">
        <v>9</v>
      </c>
      <c r="E133" t="s">
        <v>44</v>
      </c>
      <c r="F133">
        <v>1.4</v>
      </c>
      <c r="G133">
        <v>888</v>
      </c>
      <c r="H133">
        <v>30</v>
      </c>
      <c r="I133">
        <v>900</v>
      </c>
      <c r="J133">
        <v>1.33</v>
      </c>
      <c r="K133">
        <v>0.121</v>
      </c>
      <c r="L133">
        <v>4.7</v>
      </c>
      <c r="M133" t="s">
        <v>283</v>
      </c>
      <c r="N133">
        <v>1</v>
      </c>
    </row>
    <row r="134" spans="1:14" x14ac:dyDescent="0.35">
      <c r="A134">
        <v>670</v>
      </c>
      <c r="B134" t="s">
        <v>284</v>
      </c>
      <c r="C134">
        <v>620</v>
      </c>
      <c r="D134">
        <v>11</v>
      </c>
      <c r="E134" t="s">
        <v>23</v>
      </c>
      <c r="F134">
        <v>21</v>
      </c>
      <c r="G134">
        <v>891</v>
      </c>
      <c r="H134">
        <v>30</v>
      </c>
      <c r="I134">
        <v>900</v>
      </c>
      <c r="J134">
        <v>1</v>
      </c>
      <c r="K134">
        <v>0.121</v>
      </c>
      <c r="L134">
        <v>4.5999999999999996</v>
      </c>
      <c r="M134" t="s">
        <v>285</v>
      </c>
      <c r="N134">
        <v>1</v>
      </c>
    </row>
    <row r="135" spans="1:14" x14ac:dyDescent="0.35">
      <c r="A135">
        <v>669</v>
      </c>
      <c r="B135" t="s">
        <v>286</v>
      </c>
      <c r="C135">
        <v>619</v>
      </c>
      <c r="D135">
        <v>6</v>
      </c>
      <c r="E135" t="s">
        <v>14</v>
      </c>
      <c r="F135">
        <v>1.2</v>
      </c>
      <c r="G135">
        <v>889</v>
      </c>
      <c r="H135">
        <v>30</v>
      </c>
      <c r="I135">
        <v>900</v>
      </c>
      <c r="J135">
        <v>1.22</v>
      </c>
      <c r="K135">
        <v>0.121</v>
      </c>
      <c r="L135">
        <v>4.7</v>
      </c>
      <c r="M135" t="s">
        <v>287</v>
      </c>
      <c r="N135">
        <v>1</v>
      </c>
    </row>
    <row r="136" spans="1:14" x14ac:dyDescent="0.35">
      <c r="A136">
        <v>668</v>
      </c>
      <c r="B136" t="s">
        <v>288</v>
      </c>
      <c r="C136">
        <v>618</v>
      </c>
      <c r="D136">
        <v>1</v>
      </c>
      <c r="E136" t="s">
        <v>41</v>
      </c>
      <c r="F136">
        <v>2.8</v>
      </c>
      <c r="G136">
        <v>889</v>
      </c>
      <c r="H136">
        <v>30</v>
      </c>
      <c r="I136">
        <v>900</v>
      </c>
      <c r="J136">
        <v>1.22</v>
      </c>
      <c r="K136">
        <v>0.121</v>
      </c>
      <c r="L136">
        <v>4.5999999999999996</v>
      </c>
      <c r="M136" t="s">
        <v>289</v>
      </c>
      <c r="N136">
        <v>1</v>
      </c>
    </row>
    <row r="137" spans="1:14" x14ac:dyDescent="0.35">
      <c r="A137">
        <v>667</v>
      </c>
      <c r="B137" t="s">
        <v>290</v>
      </c>
      <c r="C137">
        <v>617</v>
      </c>
      <c r="D137">
        <v>11</v>
      </c>
      <c r="E137" t="s">
        <v>23</v>
      </c>
      <c r="F137">
        <v>14.5</v>
      </c>
      <c r="G137">
        <v>888</v>
      </c>
      <c r="H137">
        <v>30</v>
      </c>
      <c r="I137">
        <v>900</v>
      </c>
      <c r="J137">
        <v>1.33</v>
      </c>
      <c r="K137">
        <v>0.121</v>
      </c>
      <c r="L137">
        <v>4.7</v>
      </c>
      <c r="M137" t="s">
        <v>291</v>
      </c>
      <c r="N137">
        <v>1</v>
      </c>
    </row>
    <row r="138" spans="1:14" x14ac:dyDescent="0.35">
      <c r="A138">
        <v>666</v>
      </c>
      <c r="B138" t="s">
        <v>292</v>
      </c>
      <c r="C138">
        <v>616</v>
      </c>
      <c r="D138">
        <v>6</v>
      </c>
      <c r="E138" t="s">
        <v>14</v>
      </c>
      <c r="F138">
        <v>1.3</v>
      </c>
      <c r="G138">
        <v>888</v>
      </c>
      <c r="H138">
        <v>30</v>
      </c>
      <c r="I138">
        <v>900</v>
      </c>
      <c r="J138">
        <v>1.33</v>
      </c>
      <c r="K138">
        <v>0.121</v>
      </c>
      <c r="L138">
        <v>4.5999999999999996</v>
      </c>
      <c r="M138" t="s">
        <v>293</v>
      </c>
      <c r="N138">
        <v>1</v>
      </c>
    </row>
    <row r="139" spans="1:14" x14ac:dyDescent="0.35">
      <c r="A139">
        <v>665</v>
      </c>
      <c r="B139" t="s">
        <v>294</v>
      </c>
      <c r="C139">
        <v>615</v>
      </c>
      <c r="D139">
        <v>11</v>
      </c>
      <c r="E139" t="s">
        <v>23</v>
      </c>
      <c r="F139">
        <v>21</v>
      </c>
      <c r="G139">
        <v>886</v>
      </c>
      <c r="H139">
        <v>30</v>
      </c>
      <c r="I139">
        <v>900</v>
      </c>
      <c r="J139">
        <v>1.56</v>
      </c>
      <c r="K139">
        <v>0.12</v>
      </c>
      <c r="L139">
        <v>4.5999999999999996</v>
      </c>
      <c r="M139" t="s">
        <v>295</v>
      </c>
      <c r="N139">
        <v>1</v>
      </c>
    </row>
    <row r="140" spans="1:14" x14ac:dyDescent="0.35">
      <c r="A140">
        <v>664</v>
      </c>
      <c r="B140" t="s">
        <v>296</v>
      </c>
      <c r="C140">
        <v>614</v>
      </c>
      <c r="D140">
        <v>11</v>
      </c>
      <c r="E140" t="s">
        <v>23</v>
      </c>
      <c r="F140">
        <v>19.399999999999999</v>
      </c>
      <c r="G140">
        <v>887</v>
      </c>
      <c r="H140">
        <v>30</v>
      </c>
      <c r="I140">
        <v>900</v>
      </c>
      <c r="J140">
        <v>1.44</v>
      </c>
      <c r="K140">
        <v>0.121</v>
      </c>
      <c r="L140">
        <v>4.7</v>
      </c>
      <c r="M140" t="s">
        <v>297</v>
      </c>
      <c r="N140">
        <v>1</v>
      </c>
    </row>
    <row r="141" spans="1:14" x14ac:dyDescent="0.35">
      <c r="A141">
        <v>663</v>
      </c>
      <c r="B141" t="s">
        <v>298</v>
      </c>
      <c r="C141">
        <v>613</v>
      </c>
      <c r="D141">
        <v>9</v>
      </c>
      <c r="E141" t="s">
        <v>44</v>
      </c>
      <c r="F141">
        <v>1.2</v>
      </c>
      <c r="G141">
        <v>886</v>
      </c>
      <c r="H141">
        <v>30</v>
      </c>
      <c r="I141">
        <v>900</v>
      </c>
      <c r="J141">
        <v>1.56</v>
      </c>
      <c r="K141">
        <v>0.12</v>
      </c>
      <c r="L141">
        <v>4.7</v>
      </c>
      <c r="M141" t="s">
        <v>299</v>
      </c>
      <c r="N141">
        <v>1</v>
      </c>
    </row>
    <row r="142" spans="1:14" x14ac:dyDescent="0.35">
      <c r="A142">
        <v>662</v>
      </c>
      <c r="B142" t="s">
        <v>300</v>
      </c>
      <c r="C142">
        <v>612</v>
      </c>
      <c r="D142">
        <v>11</v>
      </c>
      <c r="E142" t="s">
        <v>23</v>
      </c>
      <c r="F142">
        <v>20.9</v>
      </c>
      <c r="G142">
        <v>888</v>
      </c>
      <c r="H142">
        <v>30</v>
      </c>
      <c r="I142">
        <v>900</v>
      </c>
      <c r="J142">
        <v>1.33</v>
      </c>
      <c r="K142">
        <v>0.121</v>
      </c>
      <c r="L142">
        <v>4.5999999999999996</v>
      </c>
      <c r="M142" t="s">
        <v>301</v>
      </c>
      <c r="N142">
        <v>1</v>
      </c>
    </row>
    <row r="143" spans="1:14" x14ac:dyDescent="0.35">
      <c r="A143">
        <v>661</v>
      </c>
      <c r="B143" t="s">
        <v>302</v>
      </c>
      <c r="C143">
        <v>611</v>
      </c>
      <c r="D143">
        <v>11</v>
      </c>
      <c r="E143" t="s">
        <v>23</v>
      </c>
      <c r="F143">
        <v>15.1</v>
      </c>
      <c r="G143">
        <v>889</v>
      </c>
      <c r="H143">
        <v>30</v>
      </c>
      <c r="I143">
        <v>900</v>
      </c>
      <c r="J143">
        <v>1.22</v>
      </c>
      <c r="K143">
        <v>0.121</v>
      </c>
      <c r="L143">
        <v>4.7</v>
      </c>
      <c r="M143" t="s">
        <v>303</v>
      </c>
      <c r="N143">
        <v>1</v>
      </c>
    </row>
    <row r="144" spans="1:14" x14ac:dyDescent="0.35">
      <c r="A144">
        <v>660</v>
      </c>
      <c r="B144" t="s">
        <v>304</v>
      </c>
      <c r="C144">
        <v>610</v>
      </c>
      <c r="D144">
        <v>9</v>
      </c>
      <c r="E144" t="s">
        <v>44</v>
      </c>
      <c r="F144">
        <v>1.3</v>
      </c>
      <c r="G144">
        <v>889</v>
      </c>
      <c r="H144">
        <v>30</v>
      </c>
      <c r="I144">
        <v>900</v>
      </c>
      <c r="J144">
        <v>1.22</v>
      </c>
      <c r="K144">
        <v>0.121</v>
      </c>
      <c r="L144">
        <v>4.7</v>
      </c>
      <c r="M144" t="s">
        <v>305</v>
      </c>
      <c r="N144">
        <v>1</v>
      </c>
    </row>
    <row r="145" spans="1:14" x14ac:dyDescent="0.35">
      <c r="A145">
        <v>659</v>
      </c>
      <c r="B145" t="s">
        <v>306</v>
      </c>
      <c r="C145">
        <v>609</v>
      </c>
      <c r="D145">
        <v>11</v>
      </c>
      <c r="E145" t="s">
        <v>23</v>
      </c>
      <c r="F145">
        <v>17.5</v>
      </c>
      <c r="G145">
        <v>887</v>
      </c>
      <c r="H145">
        <v>30</v>
      </c>
      <c r="I145">
        <v>900</v>
      </c>
      <c r="J145">
        <v>1.44</v>
      </c>
      <c r="K145">
        <v>0.121</v>
      </c>
      <c r="L145">
        <v>4.7</v>
      </c>
      <c r="M145" t="s">
        <v>307</v>
      </c>
      <c r="N145">
        <v>1</v>
      </c>
    </row>
    <row r="146" spans="1:14" x14ac:dyDescent="0.35">
      <c r="A146">
        <v>658</v>
      </c>
      <c r="B146" t="s">
        <v>308</v>
      </c>
      <c r="C146">
        <v>608</v>
      </c>
      <c r="D146">
        <v>7</v>
      </c>
      <c r="E146" t="s">
        <v>17</v>
      </c>
      <c r="F146">
        <v>2.9</v>
      </c>
      <c r="G146">
        <v>887</v>
      </c>
      <c r="H146">
        <v>30</v>
      </c>
      <c r="I146">
        <v>900</v>
      </c>
      <c r="J146">
        <v>1.44</v>
      </c>
      <c r="K146">
        <v>0.121</v>
      </c>
      <c r="L146">
        <v>4.7</v>
      </c>
      <c r="M146" t="s">
        <v>309</v>
      </c>
      <c r="N146">
        <v>1</v>
      </c>
    </row>
    <row r="147" spans="1:14" x14ac:dyDescent="0.35">
      <c r="A147">
        <v>657</v>
      </c>
      <c r="B147" t="s">
        <v>310</v>
      </c>
      <c r="C147">
        <v>607</v>
      </c>
      <c r="D147">
        <v>9</v>
      </c>
      <c r="E147" t="s">
        <v>44</v>
      </c>
      <c r="F147">
        <v>1.3</v>
      </c>
      <c r="G147">
        <v>888</v>
      </c>
      <c r="H147">
        <v>30</v>
      </c>
      <c r="I147">
        <v>900</v>
      </c>
      <c r="J147">
        <v>1.33</v>
      </c>
      <c r="K147">
        <v>0.121</v>
      </c>
      <c r="L147">
        <v>4.5999999999999996</v>
      </c>
      <c r="M147" t="s">
        <v>311</v>
      </c>
      <c r="N147">
        <v>1</v>
      </c>
    </row>
    <row r="148" spans="1:14" x14ac:dyDescent="0.35">
      <c r="A148">
        <v>656</v>
      </c>
      <c r="B148" t="s">
        <v>312</v>
      </c>
      <c r="C148">
        <v>606</v>
      </c>
      <c r="D148">
        <v>4</v>
      </c>
      <c r="E148" t="s">
        <v>28</v>
      </c>
      <c r="F148">
        <v>2.2999999999999998</v>
      </c>
      <c r="G148">
        <v>889</v>
      </c>
      <c r="H148">
        <v>30</v>
      </c>
      <c r="I148">
        <v>900</v>
      </c>
      <c r="J148">
        <v>1.22</v>
      </c>
      <c r="K148">
        <v>0.121</v>
      </c>
      <c r="L148">
        <v>4.5999999999999996</v>
      </c>
      <c r="M148" t="s">
        <v>313</v>
      </c>
      <c r="N148">
        <v>1</v>
      </c>
    </row>
    <row r="149" spans="1:14" x14ac:dyDescent="0.35">
      <c r="A149">
        <v>655</v>
      </c>
      <c r="B149" t="s">
        <v>314</v>
      </c>
      <c r="C149">
        <v>605</v>
      </c>
      <c r="D149">
        <v>7</v>
      </c>
      <c r="E149" t="s">
        <v>17</v>
      </c>
      <c r="F149">
        <v>2.8</v>
      </c>
      <c r="G149">
        <v>886</v>
      </c>
      <c r="H149">
        <v>30</v>
      </c>
      <c r="I149">
        <v>900</v>
      </c>
      <c r="J149">
        <v>1.56</v>
      </c>
      <c r="K149">
        <v>0.12</v>
      </c>
      <c r="L149">
        <v>4.7</v>
      </c>
      <c r="M149" t="s">
        <v>315</v>
      </c>
      <c r="N149">
        <v>1</v>
      </c>
    </row>
    <row r="150" spans="1:14" x14ac:dyDescent="0.35">
      <c r="A150">
        <v>654</v>
      </c>
      <c r="B150" t="s">
        <v>316</v>
      </c>
      <c r="C150">
        <v>604</v>
      </c>
      <c r="D150">
        <v>5</v>
      </c>
      <c r="E150" t="s">
        <v>35</v>
      </c>
      <c r="F150">
        <v>1.1000000000000001</v>
      </c>
      <c r="G150">
        <v>889</v>
      </c>
      <c r="H150">
        <v>30</v>
      </c>
      <c r="I150">
        <v>900</v>
      </c>
      <c r="J150">
        <v>1.22</v>
      </c>
      <c r="K150">
        <v>0.121</v>
      </c>
      <c r="L150">
        <v>4.7</v>
      </c>
      <c r="M150" t="s">
        <v>317</v>
      </c>
      <c r="N150">
        <v>1</v>
      </c>
    </row>
    <row r="151" spans="1:14" x14ac:dyDescent="0.35">
      <c r="A151">
        <v>653</v>
      </c>
      <c r="B151" t="s">
        <v>318</v>
      </c>
      <c r="C151">
        <v>603</v>
      </c>
      <c r="D151">
        <v>11</v>
      </c>
      <c r="E151" t="s">
        <v>23</v>
      </c>
      <c r="F151">
        <v>21.7</v>
      </c>
      <c r="G151">
        <v>889</v>
      </c>
      <c r="H151">
        <v>30</v>
      </c>
      <c r="I151">
        <v>900</v>
      </c>
      <c r="J151">
        <v>1.22</v>
      </c>
      <c r="K151">
        <v>0.121</v>
      </c>
      <c r="L151">
        <v>4.5999999999999996</v>
      </c>
      <c r="M151" t="s">
        <v>319</v>
      </c>
      <c r="N151">
        <v>1</v>
      </c>
    </row>
    <row r="152" spans="1:14" x14ac:dyDescent="0.35">
      <c r="A152">
        <v>652</v>
      </c>
      <c r="B152" t="s">
        <v>320</v>
      </c>
      <c r="C152">
        <v>602</v>
      </c>
      <c r="D152">
        <v>9</v>
      </c>
      <c r="E152" t="s">
        <v>44</v>
      </c>
      <c r="F152">
        <v>1.2</v>
      </c>
      <c r="G152">
        <v>888</v>
      </c>
      <c r="H152">
        <v>30</v>
      </c>
      <c r="I152">
        <v>900</v>
      </c>
      <c r="J152">
        <v>1.33</v>
      </c>
      <c r="K152">
        <v>0.121</v>
      </c>
      <c r="L152">
        <v>4.7</v>
      </c>
      <c r="M152" t="s">
        <v>321</v>
      </c>
      <c r="N152">
        <v>1</v>
      </c>
    </row>
    <row r="153" spans="1:14" x14ac:dyDescent="0.35">
      <c r="A153">
        <v>651</v>
      </c>
      <c r="B153" t="s">
        <v>322</v>
      </c>
      <c r="C153">
        <v>601</v>
      </c>
      <c r="D153">
        <v>3</v>
      </c>
      <c r="E153" t="s">
        <v>20</v>
      </c>
      <c r="F153">
        <v>1.4</v>
      </c>
      <c r="G153">
        <v>885</v>
      </c>
      <c r="H153">
        <v>30</v>
      </c>
      <c r="I153">
        <v>900</v>
      </c>
      <c r="J153">
        <v>1.67</v>
      </c>
      <c r="K153">
        <v>0.12</v>
      </c>
      <c r="L153">
        <v>4.5999999999999996</v>
      </c>
      <c r="M153" t="s">
        <v>323</v>
      </c>
      <c r="N153">
        <v>1</v>
      </c>
    </row>
    <row r="154" spans="1:14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35">
      <c r="A155">
        <v>650</v>
      </c>
      <c r="B155" t="s">
        <v>324</v>
      </c>
      <c r="C155">
        <v>600</v>
      </c>
      <c r="D155">
        <v>3</v>
      </c>
      <c r="E155" t="s">
        <v>20</v>
      </c>
      <c r="F155">
        <v>1.2</v>
      </c>
      <c r="G155">
        <v>736</v>
      </c>
      <c r="H155">
        <v>25</v>
      </c>
      <c r="I155">
        <v>750</v>
      </c>
      <c r="J155">
        <v>1.87</v>
      </c>
      <c r="K155">
        <v>0.1</v>
      </c>
      <c r="L155">
        <v>5.6</v>
      </c>
      <c r="M155" t="s">
        <v>325</v>
      </c>
      <c r="N155">
        <v>1</v>
      </c>
    </row>
    <row r="156" spans="1:14" x14ac:dyDescent="0.35">
      <c r="A156">
        <v>649</v>
      </c>
      <c r="B156" t="s">
        <v>326</v>
      </c>
      <c r="C156">
        <v>599</v>
      </c>
      <c r="D156">
        <v>8</v>
      </c>
      <c r="E156" t="s">
        <v>38</v>
      </c>
      <c r="F156">
        <v>2.2999999999999998</v>
      </c>
      <c r="G156">
        <v>738</v>
      </c>
      <c r="H156">
        <v>25</v>
      </c>
      <c r="I156">
        <v>750</v>
      </c>
      <c r="J156">
        <v>1.6</v>
      </c>
      <c r="K156">
        <v>0.1</v>
      </c>
      <c r="L156">
        <v>5.6</v>
      </c>
      <c r="M156" t="s">
        <v>327</v>
      </c>
      <c r="N156">
        <v>1</v>
      </c>
    </row>
    <row r="157" spans="1:14" x14ac:dyDescent="0.35">
      <c r="A157">
        <v>648</v>
      </c>
      <c r="B157" t="s">
        <v>328</v>
      </c>
      <c r="C157" s="3">
        <v>598</v>
      </c>
      <c r="D157">
        <v>3</v>
      </c>
      <c r="E157" t="s">
        <v>20</v>
      </c>
      <c r="F157">
        <v>4.9000000000000004</v>
      </c>
      <c r="G157">
        <v>737</v>
      </c>
      <c r="H157">
        <v>25</v>
      </c>
      <c r="I157">
        <v>750</v>
      </c>
      <c r="J157">
        <v>1.73</v>
      </c>
      <c r="K157">
        <v>0.1</v>
      </c>
      <c r="L157">
        <v>5.6</v>
      </c>
      <c r="M157" t="s">
        <v>329</v>
      </c>
      <c r="N157">
        <v>0</v>
      </c>
    </row>
    <row r="158" spans="1:14" x14ac:dyDescent="0.35">
      <c r="A158">
        <v>647</v>
      </c>
      <c r="B158" t="s">
        <v>330</v>
      </c>
      <c r="C158">
        <v>597</v>
      </c>
      <c r="D158">
        <v>7</v>
      </c>
      <c r="E158" t="s">
        <v>17</v>
      </c>
      <c r="F158">
        <v>2.9</v>
      </c>
      <c r="G158">
        <v>736</v>
      </c>
      <c r="H158">
        <v>25</v>
      </c>
      <c r="I158">
        <v>750</v>
      </c>
      <c r="J158">
        <v>1.87</v>
      </c>
      <c r="K158">
        <v>0.1</v>
      </c>
      <c r="L158">
        <v>5.6</v>
      </c>
      <c r="M158" t="s">
        <v>331</v>
      </c>
      <c r="N158">
        <v>1</v>
      </c>
    </row>
    <row r="159" spans="1:14" x14ac:dyDescent="0.35">
      <c r="A159">
        <v>646</v>
      </c>
      <c r="B159" t="s">
        <v>332</v>
      </c>
      <c r="C159">
        <v>596</v>
      </c>
      <c r="D159">
        <v>11</v>
      </c>
      <c r="E159" t="s">
        <v>23</v>
      </c>
      <c r="F159">
        <v>16.7</v>
      </c>
      <c r="G159">
        <v>736</v>
      </c>
      <c r="H159">
        <v>25</v>
      </c>
      <c r="I159">
        <v>750</v>
      </c>
      <c r="J159">
        <v>1.87</v>
      </c>
      <c r="K159">
        <v>0.1</v>
      </c>
      <c r="L159">
        <v>5.6</v>
      </c>
      <c r="M159" t="s">
        <v>333</v>
      </c>
      <c r="N159">
        <v>1</v>
      </c>
    </row>
    <row r="160" spans="1:14" x14ac:dyDescent="0.35">
      <c r="A160">
        <v>645</v>
      </c>
      <c r="B160" t="s">
        <v>334</v>
      </c>
      <c r="C160">
        <v>595</v>
      </c>
      <c r="D160">
        <v>11</v>
      </c>
      <c r="E160" t="s">
        <v>23</v>
      </c>
      <c r="F160">
        <v>5.4</v>
      </c>
      <c r="G160">
        <v>738</v>
      </c>
      <c r="H160">
        <v>25</v>
      </c>
      <c r="I160">
        <v>750</v>
      </c>
      <c r="J160">
        <v>1.6</v>
      </c>
      <c r="K160">
        <v>0.1</v>
      </c>
      <c r="L160">
        <v>5.6</v>
      </c>
      <c r="M160" t="s">
        <v>335</v>
      </c>
      <c r="N160">
        <v>1</v>
      </c>
    </row>
    <row r="161" spans="1:14" x14ac:dyDescent="0.35">
      <c r="A161">
        <v>644</v>
      </c>
      <c r="B161" t="s">
        <v>336</v>
      </c>
      <c r="C161">
        <v>594</v>
      </c>
      <c r="D161">
        <v>11</v>
      </c>
      <c r="E161" t="s">
        <v>23</v>
      </c>
      <c r="F161">
        <v>16.899999999999999</v>
      </c>
      <c r="G161">
        <v>738</v>
      </c>
      <c r="H161">
        <v>25</v>
      </c>
      <c r="I161">
        <v>750</v>
      </c>
      <c r="J161">
        <v>1.6</v>
      </c>
      <c r="K161">
        <v>0.1</v>
      </c>
      <c r="L161">
        <v>5.6</v>
      </c>
      <c r="M161" t="s">
        <v>337</v>
      </c>
      <c r="N161">
        <v>1</v>
      </c>
    </row>
    <row r="162" spans="1:14" x14ac:dyDescent="0.35">
      <c r="A162">
        <v>643</v>
      </c>
      <c r="B162" t="s">
        <v>338</v>
      </c>
      <c r="C162">
        <v>593</v>
      </c>
      <c r="D162">
        <v>7</v>
      </c>
      <c r="E162" t="s">
        <v>17</v>
      </c>
      <c r="F162">
        <v>2.8</v>
      </c>
      <c r="G162">
        <v>737</v>
      </c>
      <c r="H162">
        <v>25</v>
      </c>
      <c r="I162">
        <v>750</v>
      </c>
      <c r="J162">
        <v>1.73</v>
      </c>
      <c r="K162">
        <v>0.1</v>
      </c>
      <c r="L162">
        <v>5.5</v>
      </c>
      <c r="M162" t="s">
        <v>339</v>
      </c>
      <c r="N162">
        <v>1</v>
      </c>
    </row>
    <row r="163" spans="1:14" x14ac:dyDescent="0.35">
      <c r="A163">
        <v>642</v>
      </c>
      <c r="B163" t="s">
        <v>340</v>
      </c>
      <c r="C163">
        <v>592</v>
      </c>
      <c r="D163">
        <v>3</v>
      </c>
      <c r="E163" t="s">
        <v>20</v>
      </c>
      <c r="F163">
        <v>1.1000000000000001</v>
      </c>
      <c r="G163">
        <v>736</v>
      </c>
      <c r="H163">
        <v>25</v>
      </c>
      <c r="I163">
        <v>750</v>
      </c>
      <c r="J163">
        <v>1.87</v>
      </c>
      <c r="K163">
        <v>0.1</v>
      </c>
      <c r="L163">
        <v>5.6</v>
      </c>
      <c r="M163" t="s">
        <v>341</v>
      </c>
      <c r="N163">
        <v>1</v>
      </c>
    </row>
    <row r="164" spans="1:14" x14ac:dyDescent="0.35">
      <c r="A164">
        <v>641</v>
      </c>
      <c r="B164" t="s">
        <v>342</v>
      </c>
      <c r="C164">
        <v>591</v>
      </c>
      <c r="D164">
        <v>11</v>
      </c>
      <c r="E164" t="s">
        <v>23</v>
      </c>
      <c r="F164">
        <v>16.8</v>
      </c>
      <c r="G164">
        <v>736</v>
      </c>
      <c r="H164">
        <v>25</v>
      </c>
      <c r="I164">
        <v>750</v>
      </c>
      <c r="J164">
        <v>1.87</v>
      </c>
      <c r="K164">
        <v>0.1</v>
      </c>
      <c r="L164">
        <v>5.7</v>
      </c>
      <c r="M164" t="s">
        <v>343</v>
      </c>
      <c r="N164">
        <v>1</v>
      </c>
    </row>
    <row r="165" spans="1:14" x14ac:dyDescent="0.35">
      <c r="A165">
        <v>640</v>
      </c>
      <c r="B165" t="s">
        <v>344</v>
      </c>
      <c r="C165">
        <v>590</v>
      </c>
      <c r="D165">
        <v>11</v>
      </c>
      <c r="E165" t="s">
        <v>23</v>
      </c>
      <c r="F165">
        <v>17.600000000000001</v>
      </c>
      <c r="G165">
        <v>736</v>
      </c>
      <c r="H165">
        <v>25</v>
      </c>
      <c r="I165">
        <v>750</v>
      </c>
      <c r="J165">
        <v>1.87</v>
      </c>
      <c r="K165">
        <v>0.1</v>
      </c>
      <c r="L165">
        <v>5.6</v>
      </c>
      <c r="M165" t="s">
        <v>345</v>
      </c>
      <c r="N165">
        <v>1</v>
      </c>
    </row>
    <row r="166" spans="1:14" x14ac:dyDescent="0.35">
      <c r="A166">
        <v>639</v>
      </c>
      <c r="B166" t="s">
        <v>346</v>
      </c>
      <c r="C166">
        <v>589</v>
      </c>
      <c r="D166">
        <v>4</v>
      </c>
      <c r="E166" t="s">
        <v>28</v>
      </c>
      <c r="F166">
        <v>2.2999999999999998</v>
      </c>
      <c r="G166">
        <v>739</v>
      </c>
      <c r="H166">
        <v>25</v>
      </c>
      <c r="I166">
        <v>750</v>
      </c>
      <c r="J166">
        <v>1.47</v>
      </c>
      <c r="K166">
        <v>0.10100000000000001</v>
      </c>
      <c r="L166">
        <v>5.6</v>
      </c>
      <c r="M166" t="s">
        <v>347</v>
      </c>
      <c r="N166">
        <v>1</v>
      </c>
    </row>
    <row r="167" spans="1:14" x14ac:dyDescent="0.35">
      <c r="A167">
        <v>638</v>
      </c>
      <c r="B167" t="s">
        <v>348</v>
      </c>
      <c r="C167">
        <v>588</v>
      </c>
      <c r="D167">
        <v>3</v>
      </c>
      <c r="E167" t="s">
        <v>20</v>
      </c>
      <c r="F167">
        <v>1.2</v>
      </c>
      <c r="G167">
        <v>735</v>
      </c>
      <c r="H167">
        <v>25</v>
      </c>
      <c r="I167">
        <v>750</v>
      </c>
      <c r="J167">
        <v>2</v>
      </c>
      <c r="K167">
        <v>0.1</v>
      </c>
      <c r="L167">
        <v>5.6</v>
      </c>
      <c r="M167" t="s">
        <v>349</v>
      </c>
      <c r="N167">
        <v>1</v>
      </c>
    </row>
    <row r="168" spans="1:14" x14ac:dyDescent="0.35">
      <c r="A168">
        <v>637</v>
      </c>
      <c r="B168" t="s">
        <v>350</v>
      </c>
      <c r="C168">
        <v>587</v>
      </c>
      <c r="D168">
        <v>11</v>
      </c>
      <c r="E168" t="s">
        <v>23</v>
      </c>
      <c r="F168">
        <v>15.3</v>
      </c>
      <c r="G168">
        <v>736</v>
      </c>
      <c r="H168">
        <v>25</v>
      </c>
      <c r="I168">
        <v>750</v>
      </c>
      <c r="J168">
        <v>1.87</v>
      </c>
      <c r="K168">
        <v>0.1</v>
      </c>
      <c r="L168">
        <v>5.6</v>
      </c>
      <c r="M168" t="s">
        <v>351</v>
      </c>
      <c r="N168">
        <v>1</v>
      </c>
    </row>
    <row r="169" spans="1:14" x14ac:dyDescent="0.35">
      <c r="A169">
        <v>636</v>
      </c>
      <c r="B169" t="s">
        <v>352</v>
      </c>
      <c r="C169">
        <v>586</v>
      </c>
      <c r="D169">
        <v>6</v>
      </c>
      <c r="E169" t="s">
        <v>14</v>
      </c>
      <c r="F169">
        <v>1.2</v>
      </c>
      <c r="G169">
        <v>737</v>
      </c>
      <c r="H169">
        <v>25</v>
      </c>
      <c r="I169">
        <v>750</v>
      </c>
      <c r="J169">
        <v>1.73</v>
      </c>
      <c r="K169">
        <v>0.1</v>
      </c>
      <c r="L169">
        <v>5.7</v>
      </c>
      <c r="M169" t="s">
        <v>353</v>
      </c>
      <c r="N169">
        <v>1</v>
      </c>
    </row>
    <row r="170" spans="1:14" x14ac:dyDescent="0.35">
      <c r="A170">
        <v>635</v>
      </c>
      <c r="B170" t="s">
        <v>354</v>
      </c>
      <c r="C170">
        <v>585</v>
      </c>
      <c r="D170">
        <v>11</v>
      </c>
      <c r="E170" t="s">
        <v>23</v>
      </c>
      <c r="F170">
        <v>15</v>
      </c>
      <c r="G170">
        <v>736</v>
      </c>
      <c r="H170">
        <v>25</v>
      </c>
      <c r="I170">
        <v>750</v>
      </c>
      <c r="J170">
        <v>1.87</v>
      </c>
      <c r="K170">
        <v>0.1</v>
      </c>
      <c r="L170">
        <v>5.6</v>
      </c>
      <c r="M170" t="s">
        <v>355</v>
      </c>
      <c r="N170">
        <v>1</v>
      </c>
    </row>
    <row r="171" spans="1:14" x14ac:dyDescent="0.35">
      <c r="A171">
        <v>634</v>
      </c>
      <c r="B171" t="s">
        <v>356</v>
      </c>
      <c r="C171">
        <v>584</v>
      </c>
      <c r="D171">
        <v>11</v>
      </c>
      <c r="E171" t="s">
        <v>23</v>
      </c>
      <c r="F171">
        <v>19.600000000000001</v>
      </c>
      <c r="G171">
        <v>737</v>
      </c>
      <c r="H171">
        <v>25</v>
      </c>
      <c r="I171">
        <v>750</v>
      </c>
      <c r="J171">
        <v>1.73</v>
      </c>
      <c r="K171">
        <v>0.1</v>
      </c>
      <c r="L171">
        <v>5.5</v>
      </c>
      <c r="M171" t="s">
        <v>357</v>
      </c>
      <c r="N171">
        <v>1</v>
      </c>
    </row>
    <row r="172" spans="1:14" x14ac:dyDescent="0.35">
      <c r="A172">
        <v>633</v>
      </c>
      <c r="B172" t="s">
        <v>358</v>
      </c>
      <c r="C172">
        <v>583</v>
      </c>
      <c r="D172">
        <v>1</v>
      </c>
      <c r="E172" t="s">
        <v>41</v>
      </c>
      <c r="F172">
        <v>2.9</v>
      </c>
      <c r="G172">
        <v>738</v>
      </c>
      <c r="H172">
        <v>25</v>
      </c>
      <c r="I172">
        <v>750</v>
      </c>
      <c r="J172">
        <v>1.6</v>
      </c>
      <c r="K172">
        <v>0.1</v>
      </c>
      <c r="L172">
        <v>5.6</v>
      </c>
      <c r="M172" t="s">
        <v>359</v>
      </c>
      <c r="N172">
        <v>1</v>
      </c>
    </row>
    <row r="173" spans="1:14" x14ac:dyDescent="0.35">
      <c r="A173">
        <v>632</v>
      </c>
      <c r="B173" t="s">
        <v>360</v>
      </c>
      <c r="C173">
        <v>582</v>
      </c>
      <c r="D173">
        <v>11</v>
      </c>
      <c r="E173" t="s">
        <v>23</v>
      </c>
      <c r="F173">
        <v>42.9</v>
      </c>
      <c r="G173">
        <v>738</v>
      </c>
      <c r="H173">
        <v>25</v>
      </c>
      <c r="I173">
        <v>750</v>
      </c>
      <c r="J173">
        <v>1.6</v>
      </c>
      <c r="K173">
        <v>0.1</v>
      </c>
      <c r="L173">
        <v>5.6</v>
      </c>
      <c r="M173" t="s">
        <v>361</v>
      </c>
      <c r="N173">
        <v>1</v>
      </c>
    </row>
    <row r="174" spans="1:14" x14ac:dyDescent="0.35">
      <c r="A174">
        <v>631</v>
      </c>
      <c r="B174" t="s">
        <v>362</v>
      </c>
      <c r="C174">
        <v>581</v>
      </c>
      <c r="D174">
        <v>1</v>
      </c>
      <c r="E174" t="s">
        <v>41</v>
      </c>
      <c r="F174">
        <v>2.8</v>
      </c>
      <c r="G174">
        <v>736</v>
      </c>
      <c r="H174">
        <v>25</v>
      </c>
      <c r="I174">
        <v>750</v>
      </c>
      <c r="J174">
        <v>1.87</v>
      </c>
      <c r="K174">
        <v>0.1</v>
      </c>
      <c r="L174">
        <v>5.6</v>
      </c>
      <c r="M174" t="s">
        <v>363</v>
      </c>
      <c r="N174">
        <v>1</v>
      </c>
    </row>
    <row r="175" spans="1:14" x14ac:dyDescent="0.35">
      <c r="A175">
        <v>630</v>
      </c>
      <c r="B175" t="s">
        <v>364</v>
      </c>
      <c r="C175">
        <v>580</v>
      </c>
      <c r="D175">
        <v>4</v>
      </c>
      <c r="E175" t="s">
        <v>28</v>
      </c>
      <c r="F175">
        <v>2.2999999999999998</v>
      </c>
      <c r="G175">
        <v>735</v>
      </c>
      <c r="H175">
        <v>25</v>
      </c>
      <c r="I175">
        <v>750</v>
      </c>
      <c r="J175">
        <v>2</v>
      </c>
      <c r="K175">
        <v>0.1</v>
      </c>
      <c r="L175">
        <v>5.6</v>
      </c>
      <c r="M175" t="s">
        <v>365</v>
      </c>
      <c r="N175">
        <v>1</v>
      </c>
    </row>
    <row r="176" spans="1:14" x14ac:dyDescent="0.35">
      <c r="A176">
        <v>629</v>
      </c>
      <c r="B176" t="s">
        <v>366</v>
      </c>
      <c r="C176">
        <v>579</v>
      </c>
      <c r="D176">
        <v>9</v>
      </c>
      <c r="E176" t="s">
        <v>44</v>
      </c>
      <c r="F176">
        <v>1.2</v>
      </c>
      <c r="G176">
        <v>736</v>
      </c>
      <c r="H176">
        <v>25</v>
      </c>
      <c r="I176">
        <v>750</v>
      </c>
      <c r="J176">
        <v>1.87</v>
      </c>
      <c r="K176">
        <v>0.1</v>
      </c>
      <c r="L176">
        <v>5.6</v>
      </c>
      <c r="M176" t="s">
        <v>367</v>
      </c>
      <c r="N176">
        <v>1</v>
      </c>
    </row>
    <row r="177" spans="1:14" x14ac:dyDescent="0.35">
      <c r="A177">
        <v>628</v>
      </c>
      <c r="B177" t="s">
        <v>368</v>
      </c>
      <c r="C177">
        <v>578</v>
      </c>
      <c r="D177">
        <v>2</v>
      </c>
      <c r="E177" t="s">
        <v>74</v>
      </c>
      <c r="F177">
        <v>1.2</v>
      </c>
      <c r="G177">
        <v>738</v>
      </c>
      <c r="H177">
        <v>25</v>
      </c>
      <c r="I177">
        <v>750</v>
      </c>
      <c r="J177">
        <v>1.6</v>
      </c>
      <c r="K177">
        <v>0.1</v>
      </c>
      <c r="L177">
        <v>5.6</v>
      </c>
      <c r="M177" t="s">
        <v>369</v>
      </c>
      <c r="N177">
        <v>1</v>
      </c>
    </row>
    <row r="178" spans="1:14" x14ac:dyDescent="0.35">
      <c r="A178">
        <v>627</v>
      </c>
      <c r="B178" t="s">
        <v>370</v>
      </c>
      <c r="C178">
        <v>577</v>
      </c>
      <c r="D178">
        <v>4</v>
      </c>
      <c r="E178" t="s">
        <v>28</v>
      </c>
      <c r="F178">
        <v>2.2999999999999998</v>
      </c>
      <c r="G178">
        <v>737</v>
      </c>
      <c r="H178">
        <v>25</v>
      </c>
      <c r="I178">
        <v>750</v>
      </c>
      <c r="J178">
        <v>1.73</v>
      </c>
      <c r="K178">
        <v>0.1</v>
      </c>
      <c r="L178">
        <v>5.5</v>
      </c>
      <c r="M178" t="s">
        <v>371</v>
      </c>
      <c r="N178">
        <v>1</v>
      </c>
    </row>
    <row r="179" spans="1:14" x14ac:dyDescent="0.35">
      <c r="A179">
        <v>626</v>
      </c>
      <c r="B179" t="s">
        <v>372</v>
      </c>
      <c r="C179">
        <v>576</v>
      </c>
      <c r="D179">
        <v>11</v>
      </c>
      <c r="E179" t="s">
        <v>23</v>
      </c>
      <c r="F179">
        <v>33.4</v>
      </c>
      <c r="G179">
        <v>736</v>
      </c>
      <c r="H179">
        <v>25</v>
      </c>
      <c r="I179">
        <v>750</v>
      </c>
      <c r="J179">
        <v>1.87</v>
      </c>
      <c r="K179">
        <v>0.1</v>
      </c>
      <c r="L179">
        <v>5.6</v>
      </c>
      <c r="M179" t="s">
        <v>373</v>
      </c>
      <c r="N179">
        <v>1</v>
      </c>
    </row>
    <row r="180" spans="1:14" x14ac:dyDescent="0.35">
      <c r="A180">
        <v>625</v>
      </c>
      <c r="B180" t="s">
        <v>374</v>
      </c>
      <c r="C180">
        <v>575</v>
      </c>
      <c r="D180">
        <v>8</v>
      </c>
      <c r="E180" t="s">
        <v>38</v>
      </c>
      <c r="F180">
        <v>2.2999999999999998</v>
      </c>
      <c r="G180">
        <v>738</v>
      </c>
      <c r="H180">
        <v>25</v>
      </c>
      <c r="I180">
        <v>750</v>
      </c>
      <c r="J180">
        <v>1.6</v>
      </c>
      <c r="K180">
        <v>0.1</v>
      </c>
      <c r="L180">
        <v>5.6</v>
      </c>
      <c r="M180" t="s">
        <v>375</v>
      </c>
      <c r="N180">
        <v>1</v>
      </c>
    </row>
    <row r="181" spans="1:14" x14ac:dyDescent="0.35">
      <c r="A181">
        <v>624</v>
      </c>
      <c r="B181" t="s">
        <v>376</v>
      </c>
      <c r="C181">
        <v>574</v>
      </c>
      <c r="D181">
        <v>4</v>
      </c>
      <c r="E181" t="s">
        <v>28</v>
      </c>
      <c r="F181">
        <v>2.2999999999999998</v>
      </c>
      <c r="G181">
        <v>736</v>
      </c>
      <c r="H181">
        <v>25</v>
      </c>
      <c r="I181">
        <v>750</v>
      </c>
      <c r="J181">
        <v>1.87</v>
      </c>
      <c r="K181">
        <v>0.1</v>
      </c>
      <c r="L181">
        <v>5.5</v>
      </c>
      <c r="M181" t="s">
        <v>377</v>
      </c>
      <c r="N181">
        <v>1</v>
      </c>
    </row>
    <row r="182" spans="1:14" x14ac:dyDescent="0.35">
      <c r="A182">
        <v>623</v>
      </c>
      <c r="B182" t="s">
        <v>378</v>
      </c>
      <c r="C182">
        <v>573</v>
      </c>
      <c r="D182">
        <v>3</v>
      </c>
      <c r="E182" t="s">
        <v>20</v>
      </c>
      <c r="F182">
        <v>1.1000000000000001</v>
      </c>
      <c r="G182">
        <v>737</v>
      </c>
      <c r="H182">
        <v>25</v>
      </c>
      <c r="I182">
        <v>750</v>
      </c>
      <c r="J182">
        <v>1.73</v>
      </c>
      <c r="K182">
        <v>0.1</v>
      </c>
      <c r="L182">
        <v>5.5</v>
      </c>
      <c r="M182" t="s">
        <v>379</v>
      </c>
      <c r="N182">
        <v>1</v>
      </c>
    </row>
    <row r="183" spans="1:14" x14ac:dyDescent="0.35">
      <c r="A183">
        <v>622</v>
      </c>
      <c r="B183" t="s">
        <v>380</v>
      </c>
      <c r="C183">
        <v>572</v>
      </c>
      <c r="D183">
        <v>8</v>
      </c>
      <c r="E183" t="s">
        <v>38</v>
      </c>
      <c r="F183">
        <v>2.2999999999999998</v>
      </c>
      <c r="G183">
        <v>738</v>
      </c>
      <c r="H183">
        <v>25</v>
      </c>
      <c r="I183">
        <v>750</v>
      </c>
      <c r="J183">
        <v>1.6</v>
      </c>
      <c r="K183">
        <v>0.1</v>
      </c>
      <c r="L183">
        <v>5.6</v>
      </c>
      <c r="M183" t="s">
        <v>381</v>
      </c>
      <c r="N183">
        <v>1</v>
      </c>
    </row>
    <row r="184" spans="1:14" x14ac:dyDescent="0.35">
      <c r="A184">
        <v>621</v>
      </c>
      <c r="B184" t="s">
        <v>382</v>
      </c>
      <c r="C184">
        <v>571</v>
      </c>
      <c r="D184">
        <v>1</v>
      </c>
      <c r="E184" t="s">
        <v>41</v>
      </c>
      <c r="F184">
        <v>2.8</v>
      </c>
      <c r="G184">
        <v>737</v>
      </c>
      <c r="H184">
        <v>25</v>
      </c>
      <c r="I184">
        <v>750</v>
      </c>
      <c r="J184">
        <v>1.73</v>
      </c>
      <c r="K184">
        <v>0.1</v>
      </c>
      <c r="L184">
        <v>5.6</v>
      </c>
      <c r="M184" t="s">
        <v>383</v>
      </c>
      <c r="N184">
        <v>1</v>
      </c>
    </row>
    <row r="185" spans="1:14" x14ac:dyDescent="0.35">
      <c r="A185">
        <v>620</v>
      </c>
      <c r="B185" t="s">
        <v>384</v>
      </c>
      <c r="C185">
        <v>570</v>
      </c>
      <c r="D185">
        <v>9</v>
      </c>
      <c r="E185" t="s">
        <v>44</v>
      </c>
      <c r="F185">
        <v>1.2</v>
      </c>
      <c r="G185">
        <v>738</v>
      </c>
      <c r="H185">
        <v>25</v>
      </c>
      <c r="I185">
        <v>750</v>
      </c>
      <c r="J185">
        <v>1.6</v>
      </c>
      <c r="K185">
        <v>0.1</v>
      </c>
      <c r="L185">
        <v>5.7</v>
      </c>
      <c r="M185" t="s">
        <v>385</v>
      </c>
      <c r="N185">
        <v>1</v>
      </c>
    </row>
    <row r="186" spans="1:14" x14ac:dyDescent="0.35">
      <c r="A186">
        <v>619</v>
      </c>
      <c r="B186" t="s">
        <v>386</v>
      </c>
      <c r="C186">
        <v>569</v>
      </c>
      <c r="D186">
        <v>11</v>
      </c>
      <c r="E186" t="s">
        <v>23</v>
      </c>
      <c r="F186">
        <v>19.5</v>
      </c>
      <c r="G186">
        <v>736</v>
      </c>
      <c r="H186">
        <v>25</v>
      </c>
      <c r="I186">
        <v>750</v>
      </c>
      <c r="J186">
        <v>1.87</v>
      </c>
      <c r="K186">
        <v>0.1</v>
      </c>
      <c r="L186">
        <v>5.6</v>
      </c>
      <c r="M186" t="s">
        <v>387</v>
      </c>
      <c r="N186">
        <v>1</v>
      </c>
    </row>
    <row r="187" spans="1:14" x14ac:dyDescent="0.35">
      <c r="A187">
        <v>618</v>
      </c>
      <c r="B187" t="s">
        <v>388</v>
      </c>
      <c r="C187">
        <v>568</v>
      </c>
      <c r="D187">
        <v>11</v>
      </c>
      <c r="E187" t="s">
        <v>23</v>
      </c>
      <c r="F187">
        <v>16.5</v>
      </c>
      <c r="G187">
        <v>738</v>
      </c>
      <c r="H187">
        <v>25</v>
      </c>
      <c r="I187">
        <v>750</v>
      </c>
      <c r="J187">
        <v>1.6</v>
      </c>
      <c r="K187">
        <v>0.1</v>
      </c>
      <c r="L187">
        <v>5.6</v>
      </c>
      <c r="M187" t="s">
        <v>389</v>
      </c>
      <c r="N187">
        <v>1</v>
      </c>
    </row>
    <row r="188" spans="1:14" x14ac:dyDescent="0.35">
      <c r="A188">
        <v>617</v>
      </c>
      <c r="B188" t="s">
        <v>390</v>
      </c>
      <c r="C188">
        <v>567</v>
      </c>
      <c r="D188">
        <v>5</v>
      </c>
      <c r="E188" t="s">
        <v>35</v>
      </c>
      <c r="F188">
        <v>1.1000000000000001</v>
      </c>
      <c r="G188">
        <v>737</v>
      </c>
      <c r="H188">
        <v>25</v>
      </c>
      <c r="I188">
        <v>750</v>
      </c>
      <c r="J188">
        <v>1.73</v>
      </c>
      <c r="K188">
        <v>0.1</v>
      </c>
      <c r="L188">
        <v>5.6</v>
      </c>
      <c r="M188" t="s">
        <v>391</v>
      </c>
      <c r="N188">
        <v>1</v>
      </c>
    </row>
    <row r="189" spans="1:14" x14ac:dyDescent="0.35">
      <c r="A189">
        <v>616</v>
      </c>
      <c r="B189" t="s">
        <v>392</v>
      </c>
      <c r="C189">
        <v>566</v>
      </c>
      <c r="D189">
        <v>11</v>
      </c>
      <c r="E189" t="s">
        <v>23</v>
      </c>
      <c r="F189">
        <v>17.3</v>
      </c>
      <c r="G189">
        <v>738</v>
      </c>
      <c r="H189">
        <v>25</v>
      </c>
      <c r="I189">
        <v>750</v>
      </c>
      <c r="J189">
        <v>1.6</v>
      </c>
      <c r="K189">
        <v>0.1</v>
      </c>
      <c r="L189">
        <v>5.6</v>
      </c>
      <c r="M189" t="s">
        <v>393</v>
      </c>
      <c r="N189">
        <v>1</v>
      </c>
    </row>
    <row r="190" spans="1:14" x14ac:dyDescent="0.35">
      <c r="A190">
        <v>615</v>
      </c>
      <c r="B190" t="s">
        <v>394</v>
      </c>
      <c r="C190">
        <v>565</v>
      </c>
      <c r="D190">
        <v>11</v>
      </c>
      <c r="E190" t="s">
        <v>23</v>
      </c>
      <c r="F190">
        <v>6.6</v>
      </c>
      <c r="G190">
        <v>738</v>
      </c>
      <c r="H190">
        <v>25</v>
      </c>
      <c r="I190">
        <v>750</v>
      </c>
      <c r="J190">
        <v>1.6</v>
      </c>
      <c r="K190">
        <v>0.1</v>
      </c>
      <c r="L190">
        <v>5.6</v>
      </c>
      <c r="M190" t="s">
        <v>395</v>
      </c>
      <c r="N190">
        <v>1</v>
      </c>
    </row>
    <row r="191" spans="1:14" x14ac:dyDescent="0.35">
      <c r="A191">
        <v>614</v>
      </c>
      <c r="B191" t="s">
        <v>396</v>
      </c>
      <c r="C191">
        <v>564</v>
      </c>
      <c r="D191">
        <v>7</v>
      </c>
      <c r="E191" t="s">
        <v>17</v>
      </c>
      <c r="F191">
        <v>2.9</v>
      </c>
      <c r="G191">
        <v>737</v>
      </c>
      <c r="H191">
        <v>25</v>
      </c>
      <c r="I191">
        <v>750</v>
      </c>
      <c r="J191">
        <v>1.73</v>
      </c>
      <c r="K191">
        <v>0.1</v>
      </c>
      <c r="L191">
        <v>5.6</v>
      </c>
      <c r="M191" t="s">
        <v>397</v>
      </c>
      <c r="N191">
        <v>1</v>
      </c>
    </row>
    <row r="192" spans="1:14" x14ac:dyDescent="0.35">
      <c r="A192">
        <v>613</v>
      </c>
      <c r="B192" t="s">
        <v>398</v>
      </c>
      <c r="C192">
        <v>563</v>
      </c>
      <c r="D192">
        <v>3</v>
      </c>
      <c r="E192" t="s">
        <v>20</v>
      </c>
      <c r="F192">
        <v>1.1000000000000001</v>
      </c>
      <c r="G192">
        <v>738</v>
      </c>
      <c r="H192">
        <v>25</v>
      </c>
      <c r="I192">
        <v>750</v>
      </c>
      <c r="J192">
        <v>1.6</v>
      </c>
      <c r="K192">
        <v>0.1</v>
      </c>
      <c r="L192">
        <v>5.6</v>
      </c>
      <c r="M192" t="s">
        <v>399</v>
      </c>
      <c r="N192">
        <v>1</v>
      </c>
    </row>
    <row r="193" spans="1:14" x14ac:dyDescent="0.35">
      <c r="A193">
        <v>612</v>
      </c>
      <c r="B193" t="s">
        <v>400</v>
      </c>
      <c r="C193">
        <v>562</v>
      </c>
      <c r="D193">
        <v>7</v>
      </c>
      <c r="E193" t="s">
        <v>17</v>
      </c>
      <c r="F193">
        <v>2.9</v>
      </c>
      <c r="G193">
        <v>735</v>
      </c>
      <c r="H193">
        <v>25</v>
      </c>
      <c r="I193">
        <v>750</v>
      </c>
      <c r="J193">
        <v>2</v>
      </c>
      <c r="K193">
        <v>0.1</v>
      </c>
      <c r="L193">
        <v>5.5</v>
      </c>
      <c r="M193" t="s">
        <v>401</v>
      </c>
      <c r="N193">
        <v>1</v>
      </c>
    </row>
    <row r="194" spans="1:14" x14ac:dyDescent="0.35">
      <c r="A194">
        <v>611</v>
      </c>
      <c r="B194" t="s">
        <v>402</v>
      </c>
      <c r="C194">
        <v>561</v>
      </c>
      <c r="D194">
        <v>9</v>
      </c>
      <c r="E194" t="s">
        <v>44</v>
      </c>
      <c r="F194">
        <v>1.2</v>
      </c>
      <c r="G194">
        <v>737</v>
      </c>
      <c r="H194">
        <v>25</v>
      </c>
      <c r="I194">
        <v>750</v>
      </c>
      <c r="J194">
        <v>1.73</v>
      </c>
      <c r="K194">
        <v>0.1</v>
      </c>
      <c r="L194">
        <v>5.6</v>
      </c>
      <c r="M194" t="s">
        <v>403</v>
      </c>
      <c r="N194">
        <v>1</v>
      </c>
    </row>
    <row r="195" spans="1:14" x14ac:dyDescent="0.35">
      <c r="A195">
        <v>610</v>
      </c>
      <c r="B195" t="s">
        <v>404</v>
      </c>
      <c r="C195">
        <v>560</v>
      </c>
      <c r="D195">
        <v>11</v>
      </c>
      <c r="E195" t="s">
        <v>23</v>
      </c>
      <c r="F195">
        <v>21.6</v>
      </c>
      <c r="G195">
        <v>735</v>
      </c>
      <c r="H195">
        <v>25</v>
      </c>
      <c r="I195">
        <v>750</v>
      </c>
      <c r="J195">
        <v>2</v>
      </c>
      <c r="K195">
        <v>0.1</v>
      </c>
      <c r="L195">
        <v>5.6</v>
      </c>
      <c r="M195" t="s">
        <v>405</v>
      </c>
      <c r="N195">
        <v>1</v>
      </c>
    </row>
    <row r="196" spans="1:14" x14ac:dyDescent="0.35">
      <c r="A196">
        <v>609</v>
      </c>
      <c r="B196" t="s">
        <v>406</v>
      </c>
      <c r="C196">
        <v>559</v>
      </c>
      <c r="D196">
        <v>1</v>
      </c>
      <c r="E196" t="s">
        <v>41</v>
      </c>
      <c r="F196">
        <v>2.8</v>
      </c>
      <c r="G196">
        <v>736</v>
      </c>
      <c r="H196">
        <v>25</v>
      </c>
      <c r="I196">
        <v>750</v>
      </c>
      <c r="J196">
        <v>1.87</v>
      </c>
      <c r="K196">
        <v>0.1</v>
      </c>
      <c r="L196">
        <v>5.6</v>
      </c>
      <c r="M196" t="s">
        <v>407</v>
      </c>
      <c r="N196">
        <v>1</v>
      </c>
    </row>
    <row r="197" spans="1:14" x14ac:dyDescent="0.35">
      <c r="A197">
        <v>608</v>
      </c>
      <c r="B197" t="s">
        <v>408</v>
      </c>
      <c r="C197">
        <v>558</v>
      </c>
      <c r="D197">
        <v>6</v>
      </c>
      <c r="E197" t="s">
        <v>14</v>
      </c>
      <c r="F197">
        <v>1.2</v>
      </c>
      <c r="G197">
        <v>737</v>
      </c>
      <c r="H197">
        <v>25</v>
      </c>
      <c r="I197">
        <v>750</v>
      </c>
      <c r="J197">
        <v>1.73</v>
      </c>
      <c r="K197">
        <v>0.1</v>
      </c>
      <c r="L197">
        <v>5.6</v>
      </c>
      <c r="M197" t="s">
        <v>409</v>
      </c>
      <c r="N197">
        <v>1</v>
      </c>
    </row>
    <row r="198" spans="1:14" x14ac:dyDescent="0.35">
      <c r="A198">
        <v>607</v>
      </c>
      <c r="B198" t="s">
        <v>410</v>
      </c>
      <c r="C198">
        <v>557</v>
      </c>
      <c r="D198">
        <v>8</v>
      </c>
      <c r="E198" t="s">
        <v>38</v>
      </c>
      <c r="F198">
        <v>2.2999999999999998</v>
      </c>
      <c r="G198">
        <v>735</v>
      </c>
      <c r="H198">
        <v>25</v>
      </c>
      <c r="I198">
        <v>750</v>
      </c>
      <c r="J198">
        <v>2</v>
      </c>
      <c r="K198">
        <v>0.1</v>
      </c>
      <c r="L198">
        <v>5.6</v>
      </c>
      <c r="M198" t="s">
        <v>411</v>
      </c>
      <c r="N198">
        <v>1</v>
      </c>
    </row>
    <row r="199" spans="1:14" x14ac:dyDescent="0.35">
      <c r="A199">
        <v>606</v>
      </c>
      <c r="B199" t="s">
        <v>412</v>
      </c>
      <c r="C199">
        <v>556</v>
      </c>
      <c r="D199">
        <v>11</v>
      </c>
      <c r="E199" t="s">
        <v>23</v>
      </c>
      <c r="F199">
        <v>16.600000000000001</v>
      </c>
      <c r="G199">
        <v>736</v>
      </c>
      <c r="H199">
        <v>25</v>
      </c>
      <c r="I199">
        <v>750</v>
      </c>
      <c r="J199">
        <v>1.87</v>
      </c>
      <c r="K199">
        <v>0.1</v>
      </c>
      <c r="L199">
        <v>5.6</v>
      </c>
      <c r="M199" t="s">
        <v>413</v>
      </c>
      <c r="N199">
        <v>1</v>
      </c>
    </row>
    <row r="200" spans="1:14" x14ac:dyDescent="0.35">
      <c r="A200">
        <v>605</v>
      </c>
      <c r="B200" t="s">
        <v>414</v>
      </c>
      <c r="C200">
        <v>555</v>
      </c>
      <c r="D200">
        <v>3</v>
      </c>
      <c r="E200" t="s">
        <v>20</v>
      </c>
      <c r="F200">
        <v>1.2</v>
      </c>
      <c r="G200">
        <v>735</v>
      </c>
      <c r="H200">
        <v>25</v>
      </c>
      <c r="I200">
        <v>750</v>
      </c>
      <c r="J200">
        <v>2</v>
      </c>
      <c r="K200">
        <v>0.1</v>
      </c>
      <c r="L200">
        <v>5.6</v>
      </c>
      <c r="M200" t="s">
        <v>415</v>
      </c>
      <c r="N200">
        <v>1</v>
      </c>
    </row>
    <row r="201" spans="1:14" x14ac:dyDescent="0.35">
      <c r="A201">
        <v>604</v>
      </c>
      <c r="B201" t="s">
        <v>416</v>
      </c>
      <c r="C201">
        <v>554</v>
      </c>
      <c r="D201">
        <v>9</v>
      </c>
      <c r="E201" t="s">
        <v>44</v>
      </c>
      <c r="F201">
        <v>1.3</v>
      </c>
      <c r="G201">
        <v>738</v>
      </c>
      <c r="H201">
        <v>25</v>
      </c>
      <c r="I201">
        <v>750</v>
      </c>
      <c r="J201">
        <v>1.6</v>
      </c>
      <c r="K201">
        <v>0.1</v>
      </c>
      <c r="L201">
        <v>5.6</v>
      </c>
      <c r="M201" t="s">
        <v>417</v>
      </c>
      <c r="N201">
        <v>1</v>
      </c>
    </row>
    <row r="202" spans="1:14" x14ac:dyDescent="0.35">
      <c r="A202">
        <v>603</v>
      </c>
      <c r="B202" t="s">
        <v>418</v>
      </c>
      <c r="C202">
        <v>553</v>
      </c>
      <c r="D202">
        <v>11</v>
      </c>
      <c r="E202" t="s">
        <v>23</v>
      </c>
      <c r="F202">
        <v>15.1</v>
      </c>
      <c r="G202">
        <v>737</v>
      </c>
      <c r="H202">
        <v>25</v>
      </c>
      <c r="I202">
        <v>750</v>
      </c>
      <c r="J202">
        <v>1.73</v>
      </c>
      <c r="K202">
        <v>0.1</v>
      </c>
      <c r="L202">
        <v>5.6</v>
      </c>
      <c r="M202" t="s">
        <v>419</v>
      </c>
      <c r="N202">
        <v>1</v>
      </c>
    </row>
    <row r="203" spans="1:14" x14ac:dyDescent="0.35">
      <c r="A203">
        <v>602</v>
      </c>
      <c r="B203" t="s">
        <v>420</v>
      </c>
      <c r="C203">
        <v>552</v>
      </c>
      <c r="D203">
        <v>4</v>
      </c>
      <c r="E203" t="s">
        <v>28</v>
      </c>
      <c r="F203">
        <v>2.2000000000000002</v>
      </c>
      <c r="G203">
        <v>737</v>
      </c>
      <c r="H203">
        <v>25</v>
      </c>
      <c r="I203">
        <v>750</v>
      </c>
      <c r="J203">
        <v>1.73</v>
      </c>
      <c r="K203">
        <v>0.1</v>
      </c>
      <c r="L203">
        <v>5.6</v>
      </c>
      <c r="M203" t="s">
        <v>421</v>
      </c>
      <c r="N203">
        <v>1</v>
      </c>
    </row>
    <row r="204" spans="1:14" x14ac:dyDescent="0.35">
      <c r="A204">
        <v>601</v>
      </c>
      <c r="B204" t="s">
        <v>422</v>
      </c>
      <c r="C204">
        <v>551</v>
      </c>
      <c r="D204">
        <v>9</v>
      </c>
      <c r="E204" t="s">
        <v>44</v>
      </c>
      <c r="F204">
        <v>0.9</v>
      </c>
      <c r="G204">
        <v>736</v>
      </c>
      <c r="H204">
        <v>25</v>
      </c>
      <c r="I204">
        <v>750</v>
      </c>
      <c r="J204">
        <v>1.87</v>
      </c>
      <c r="K204">
        <v>0.1</v>
      </c>
      <c r="L204">
        <v>5.6</v>
      </c>
      <c r="M204" t="s">
        <v>423</v>
      </c>
      <c r="N204">
        <v>1</v>
      </c>
    </row>
    <row r="205" spans="1:14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x14ac:dyDescent="0.35">
      <c r="A206">
        <v>600</v>
      </c>
      <c r="B206" t="s">
        <v>424</v>
      </c>
      <c r="C206">
        <v>550</v>
      </c>
      <c r="D206">
        <v>6</v>
      </c>
      <c r="E206" t="s">
        <v>14</v>
      </c>
      <c r="F206">
        <v>1.3</v>
      </c>
      <c r="G206">
        <v>587</v>
      </c>
      <c r="H206">
        <v>20</v>
      </c>
      <c r="I206">
        <v>600</v>
      </c>
      <c r="J206">
        <v>2.17</v>
      </c>
      <c r="K206">
        <v>0.08</v>
      </c>
      <c r="L206">
        <v>7</v>
      </c>
      <c r="M206" t="s">
        <v>425</v>
      </c>
      <c r="N206">
        <v>1</v>
      </c>
    </row>
    <row r="207" spans="1:14" x14ac:dyDescent="0.35">
      <c r="A207">
        <v>599</v>
      </c>
      <c r="B207" t="s">
        <v>426</v>
      </c>
      <c r="C207">
        <v>549</v>
      </c>
      <c r="D207">
        <v>8</v>
      </c>
      <c r="E207" t="s">
        <v>38</v>
      </c>
      <c r="F207">
        <v>2.4</v>
      </c>
      <c r="G207">
        <v>586</v>
      </c>
      <c r="H207">
        <v>20</v>
      </c>
      <c r="I207">
        <v>600</v>
      </c>
      <c r="J207">
        <v>2.33</v>
      </c>
      <c r="K207">
        <v>0.08</v>
      </c>
      <c r="L207">
        <v>7</v>
      </c>
      <c r="M207" t="s">
        <v>427</v>
      </c>
      <c r="N207">
        <v>1</v>
      </c>
    </row>
    <row r="208" spans="1:14" x14ac:dyDescent="0.35">
      <c r="A208">
        <v>598</v>
      </c>
      <c r="B208" t="s">
        <v>428</v>
      </c>
      <c r="C208">
        <v>548</v>
      </c>
      <c r="D208">
        <v>9</v>
      </c>
      <c r="E208" t="s">
        <v>44</v>
      </c>
      <c r="F208">
        <v>1.1000000000000001</v>
      </c>
      <c r="G208">
        <v>587</v>
      </c>
      <c r="H208">
        <v>20</v>
      </c>
      <c r="I208">
        <v>600</v>
      </c>
      <c r="J208">
        <v>2.17</v>
      </c>
      <c r="K208">
        <v>0.08</v>
      </c>
      <c r="L208">
        <v>7.1</v>
      </c>
      <c r="M208" t="s">
        <v>429</v>
      </c>
      <c r="N208">
        <v>1</v>
      </c>
    </row>
    <row r="209" spans="1:14" x14ac:dyDescent="0.35">
      <c r="A209">
        <v>597</v>
      </c>
      <c r="B209" t="s">
        <v>430</v>
      </c>
      <c r="C209">
        <v>547</v>
      </c>
      <c r="D209">
        <v>11</v>
      </c>
      <c r="E209" t="s">
        <v>23</v>
      </c>
      <c r="F209">
        <v>22.3</v>
      </c>
      <c r="G209">
        <v>589</v>
      </c>
      <c r="H209">
        <v>20</v>
      </c>
      <c r="I209">
        <v>600</v>
      </c>
      <c r="J209">
        <v>1.83</v>
      </c>
      <c r="K209">
        <v>0.08</v>
      </c>
      <c r="L209">
        <v>7</v>
      </c>
      <c r="M209" t="s">
        <v>431</v>
      </c>
      <c r="N209">
        <v>1</v>
      </c>
    </row>
    <row r="210" spans="1:14" x14ac:dyDescent="0.35">
      <c r="A210">
        <v>596</v>
      </c>
      <c r="B210" t="s">
        <v>432</v>
      </c>
      <c r="C210">
        <v>546</v>
      </c>
      <c r="D210">
        <v>11</v>
      </c>
      <c r="E210" t="s">
        <v>23</v>
      </c>
      <c r="F210">
        <v>17</v>
      </c>
      <c r="G210">
        <v>586</v>
      </c>
      <c r="H210">
        <v>20</v>
      </c>
      <c r="I210">
        <v>600</v>
      </c>
      <c r="J210">
        <v>2.33</v>
      </c>
      <c r="K210">
        <v>0.08</v>
      </c>
      <c r="L210">
        <v>7.1</v>
      </c>
      <c r="M210" t="s">
        <v>433</v>
      </c>
      <c r="N210">
        <v>1</v>
      </c>
    </row>
    <row r="211" spans="1:14" x14ac:dyDescent="0.35">
      <c r="A211">
        <v>595</v>
      </c>
      <c r="B211" t="s">
        <v>434</v>
      </c>
      <c r="C211">
        <v>545</v>
      </c>
      <c r="D211">
        <v>2</v>
      </c>
      <c r="E211" t="s">
        <v>74</v>
      </c>
      <c r="F211">
        <v>1.3</v>
      </c>
      <c r="G211">
        <v>585</v>
      </c>
      <c r="H211">
        <v>20</v>
      </c>
      <c r="I211">
        <v>600</v>
      </c>
      <c r="J211">
        <v>2.5</v>
      </c>
      <c r="K211">
        <v>0.08</v>
      </c>
      <c r="L211">
        <v>7</v>
      </c>
      <c r="M211" t="s">
        <v>435</v>
      </c>
      <c r="N211">
        <v>1</v>
      </c>
    </row>
    <row r="212" spans="1:14" x14ac:dyDescent="0.35">
      <c r="A212">
        <v>594</v>
      </c>
      <c r="B212" t="s">
        <v>436</v>
      </c>
      <c r="C212">
        <v>544</v>
      </c>
      <c r="D212">
        <v>3</v>
      </c>
      <c r="E212" t="s">
        <v>20</v>
      </c>
      <c r="F212">
        <v>1.1000000000000001</v>
      </c>
      <c r="G212">
        <v>585</v>
      </c>
      <c r="H212">
        <v>20</v>
      </c>
      <c r="I212">
        <v>600</v>
      </c>
      <c r="J212">
        <v>2.5</v>
      </c>
      <c r="K212">
        <v>0.08</v>
      </c>
      <c r="L212">
        <v>7</v>
      </c>
      <c r="M212" t="s">
        <v>437</v>
      </c>
      <c r="N212">
        <v>1</v>
      </c>
    </row>
    <row r="213" spans="1:14" x14ac:dyDescent="0.35">
      <c r="A213">
        <v>593</v>
      </c>
      <c r="B213" t="s">
        <v>438</v>
      </c>
      <c r="C213">
        <v>543</v>
      </c>
      <c r="D213">
        <v>4</v>
      </c>
      <c r="E213" t="s">
        <v>28</v>
      </c>
      <c r="F213">
        <v>2.2999999999999998</v>
      </c>
      <c r="G213">
        <v>586</v>
      </c>
      <c r="H213">
        <v>20</v>
      </c>
      <c r="I213">
        <v>600</v>
      </c>
      <c r="J213">
        <v>2.33</v>
      </c>
      <c r="K213">
        <v>0.08</v>
      </c>
      <c r="L213">
        <v>7</v>
      </c>
      <c r="M213" t="s">
        <v>439</v>
      </c>
      <c r="N213">
        <v>1</v>
      </c>
    </row>
    <row r="214" spans="1:14" x14ac:dyDescent="0.35">
      <c r="A214">
        <v>592</v>
      </c>
      <c r="B214" t="s">
        <v>440</v>
      </c>
      <c r="C214">
        <v>542</v>
      </c>
      <c r="D214">
        <v>11</v>
      </c>
      <c r="E214" t="s">
        <v>23</v>
      </c>
      <c r="F214">
        <v>16.2</v>
      </c>
      <c r="G214">
        <v>586</v>
      </c>
      <c r="H214">
        <v>20</v>
      </c>
      <c r="I214">
        <v>600</v>
      </c>
      <c r="J214">
        <v>2.33</v>
      </c>
      <c r="K214">
        <v>0.08</v>
      </c>
      <c r="L214">
        <v>7.1</v>
      </c>
      <c r="M214" t="s">
        <v>441</v>
      </c>
      <c r="N214">
        <v>1</v>
      </c>
    </row>
    <row r="215" spans="1:14" x14ac:dyDescent="0.35">
      <c r="A215">
        <v>591</v>
      </c>
      <c r="B215" t="s">
        <v>442</v>
      </c>
      <c r="C215">
        <v>541</v>
      </c>
      <c r="D215">
        <v>3</v>
      </c>
      <c r="E215" t="s">
        <v>20</v>
      </c>
      <c r="F215">
        <v>1.3</v>
      </c>
      <c r="G215">
        <v>587</v>
      </c>
      <c r="H215">
        <v>20</v>
      </c>
      <c r="I215">
        <v>600</v>
      </c>
      <c r="J215">
        <v>2.17</v>
      </c>
      <c r="K215">
        <v>0.08</v>
      </c>
      <c r="L215">
        <v>7</v>
      </c>
      <c r="M215" t="s">
        <v>443</v>
      </c>
      <c r="N215">
        <v>1</v>
      </c>
    </row>
    <row r="216" spans="1:14" x14ac:dyDescent="0.35">
      <c r="A216">
        <v>590</v>
      </c>
      <c r="B216" t="s">
        <v>444</v>
      </c>
      <c r="C216">
        <v>540</v>
      </c>
      <c r="D216">
        <v>4</v>
      </c>
      <c r="E216" t="s">
        <v>28</v>
      </c>
      <c r="F216">
        <v>2.4</v>
      </c>
      <c r="G216">
        <v>586</v>
      </c>
      <c r="H216">
        <v>20</v>
      </c>
      <c r="I216">
        <v>600</v>
      </c>
      <c r="J216">
        <v>2.33</v>
      </c>
      <c r="K216">
        <v>0.08</v>
      </c>
      <c r="L216">
        <v>7</v>
      </c>
      <c r="M216" t="s">
        <v>445</v>
      </c>
      <c r="N216">
        <v>1</v>
      </c>
    </row>
    <row r="217" spans="1:14" x14ac:dyDescent="0.35">
      <c r="A217">
        <v>589</v>
      </c>
      <c r="B217" t="s">
        <v>446</v>
      </c>
      <c r="C217">
        <v>539</v>
      </c>
      <c r="D217">
        <v>11</v>
      </c>
      <c r="E217" t="s">
        <v>23</v>
      </c>
      <c r="F217">
        <v>22.2</v>
      </c>
      <c r="G217">
        <v>586</v>
      </c>
      <c r="H217">
        <v>20</v>
      </c>
      <c r="I217">
        <v>600</v>
      </c>
      <c r="J217">
        <v>2.33</v>
      </c>
      <c r="K217">
        <v>0.08</v>
      </c>
      <c r="L217">
        <v>7</v>
      </c>
      <c r="M217" t="s">
        <v>447</v>
      </c>
      <c r="N217">
        <v>1</v>
      </c>
    </row>
    <row r="218" spans="1:14" x14ac:dyDescent="0.35">
      <c r="A218">
        <v>588</v>
      </c>
      <c r="B218" t="s">
        <v>448</v>
      </c>
      <c r="C218" s="3">
        <v>538</v>
      </c>
      <c r="D218">
        <v>3</v>
      </c>
      <c r="E218" t="s">
        <v>20</v>
      </c>
      <c r="F218">
        <v>5</v>
      </c>
      <c r="G218">
        <v>588</v>
      </c>
      <c r="H218">
        <v>20</v>
      </c>
      <c r="I218">
        <v>600</v>
      </c>
      <c r="J218">
        <v>2</v>
      </c>
      <c r="K218">
        <v>0.08</v>
      </c>
      <c r="L218">
        <v>7</v>
      </c>
      <c r="M218" t="s">
        <v>449</v>
      </c>
      <c r="N218">
        <v>0</v>
      </c>
    </row>
    <row r="219" spans="1:14" x14ac:dyDescent="0.35">
      <c r="A219">
        <v>587</v>
      </c>
      <c r="B219" t="s">
        <v>450</v>
      </c>
      <c r="C219">
        <v>537</v>
      </c>
      <c r="D219">
        <v>3</v>
      </c>
      <c r="E219" t="s">
        <v>20</v>
      </c>
      <c r="F219">
        <v>1.2</v>
      </c>
      <c r="G219">
        <v>587</v>
      </c>
      <c r="H219">
        <v>20</v>
      </c>
      <c r="I219">
        <v>600</v>
      </c>
      <c r="J219">
        <v>2.17</v>
      </c>
      <c r="K219">
        <v>0.08</v>
      </c>
      <c r="L219">
        <v>6.9</v>
      </c>
      <c r="M219" t="s">
        <v>451</v>
      </c>
      <c r="N219">
        <v>1</v>
      </c>
    </row>
    <row r="220" spans="1:14" x14ac:dyDescent="0.35">
      <c r="A220">
        <v>586</v>
      </c>
      <c r="B220" t="s">
        <v>452</v>
      </c>
      <c r="C220">
        <v>536</v>
      </c>
      <c r="D220">
        <v>6</v>
      </c>
      <c r="E220" t="s">
        <v>14</v>
      </c>
      <c r="F220">
        <v>1.3</v>
      </c>
      <c r="G220">
        <v>586</v>
      </c>
      <c r="H220">
        <v>20</v>
      </c>
      <c r="I220">
        <v>600</v>
      </c>
      <c r="J220">
        <v>2.33</v>
      </c>
      <c r="K220">
        <v>0.08</v>
      </c>
      <c r="L220">
        <v>7</v>
      </c>
      <c r="M220" t="s">
        <v>453</v>
      </c>
      <c r="N220">
        <v>1</v>
      </c>
    </row>
    <row r="221" spans="1:14" x14ac:dyDescent="0.35">
      <c r="A221">
        <v>585</v>
      </c>
      <c r="B221" t="s">
        <v>454</v>
      </c>
      <c r="C221">
        <v>535</v>
      </c>
      <c r="D221">
        <v>11</v>
      </c>
      <c r="E221" t="s">
        <v>23</v>
      </c>
      <c r="F221">
        <v>17.600000000000001</v>
      </c>
      <c r="G221">
        <v>585</v>
      </c>
      <c r="H221">
        <v>20</v>
      </c>
      <c r="I221">
        <v>600</v>
      </c>
      <c r="J221">
        <v>2.5</v>
      </c>
      <c r="K221">
        <v>0.08</v>
      </c>
      <c r="L221">
        <v>7</v>
      </c>
      <c r="M221" t="s">
        <v>455</v>
      </c>
      <c r="N221">
        <v>1</v>
      </c>
    </row>
    <row r="222" spans="1:14" x14ac:dyDescent="0.35">
      <c r="A222">
        <v>584</v>
      </c>
      <c r="B222" t="s">
        <v>456</v>
      </c>
      <c r="C222">
        <v>534</v>
      </c>
      <c r="D222">
        <v>11</v>
      </c>
      <c r="E222" t="s">
        <v>23</v>
      </c>
      <c r="F222">
        <v>5.9</v>
      </c>
      <c r="G222">
        <v>585</v>
      </c>
      <c r="H222">
        <v>20</v>
      </c>
      <c r="I222">
        <v>600</v>
      </c>
      <c r="J222">
        <v>2.5</v>
      </c>
      <c r="K222">
        <v>0.08</v>
      </c>
      <c r="L222">
        <v>7</v>
      </c>
      <c r="M222" t="s">
        <v>457</v>
      </c>
      <c r="N222">
        <v>1</v>
      </c>
    </row>
    <row r="223" spans="1:14" x14ac:dyDescent="0.35">
      <c r="A223">
        <v>583</v>
      </c>
      <c r="B223" t="s">
        <v>458</v>
      </c>
      <c r="C223">
        <v>533</v>
      </c>
      <c r="D223">
        <v>11</v>
      </c>
      <c r="E223" t="s">
        <v>23</v>
      </c>
      <c r="F223">
        <v>18.600000000000001</v>
      </c>
      <c r="G223">
        <v>588</v>
      </c>
      <c r="H223">
        <v>20</v>
      </c>
      <c r="I223">
        <v>600</v>
      </c>
      <c r="J223">
        <v>2</v>
      </c>
      <c r="K223">
        <v>0.08</v>
      </c>
      <c r="L223">
        <v>5.5</v>
      </c>
      <c r="M223" t="s">
        <v>459</v>
      </c>
      <c r="N223">
        <v>1</v>
      </c>
    </row>
    <row r="224" spans="1:14" x14ac:dyDescent="0.35">
      <c r="A224">
        <v>582</v>
      </c>
      <c r="B224" t="s">
        <v>460</v>
      </c>
      <c r="C224">
        <v>532</v>
      </c>
      <c r="D224">
        <v>3</v>
      </c>
      <c r="E224" t="s">
        <v>20</v>
      </c>
      <c r="F224">
        <v>1</v>
      </c>
      <c r="G224">
        <v>586</v>
      </c>
      <c r="H224">
        <v>20</v>
      </c>
      <c r="I224">
        <v>600</v>
      </c>
      <c r="J224">
        <v>2.33</v>
      </c>
      <c r="K224">
        <v>0.08</v>
      </c>
      <c r="L224">
        <v>7</v>
      </c>
      <c r="M224" t="s">
        <v>461</v>
      </c>
      <c r="N224">
        <v>1</v>
      </c>
    </row>
    <row r="225" spans="1:14" x14ac:dyDescent="0.35">
      <c r="A225">
        <v>581</v>
      </c>
      <c r="B225" t="s">
        <v>462</v>
      </c>
      <c r="C225">
        <v>531</v>
      </c>
      <c r="D225">
        <v>1</v>
      </c>
      <c r="E225" t="s">
        <v>41</v>
      </c>
      <c r="F225">
        <v>3.4</v>
      </c>
      <c r="G225">
        <v>588</v>
      </c>
      <c r="H225">
        <v>20</v>
      </c>
      <c r="I225">
        <v>600</v>
      </c>
      <c r="J225">
        <v>2</v>
      </c>
      <c r="K225">
        <v>0.08</v>
      </c>
      <c r="L225">
        <v>7</v>
      </c>
      <c r="M225" t="s">
        <v>463</v>
      </c>
      <c r="N225">
        <v>1</v>
      </c>
    </row>
    <row r="226" spans="1:14" x14ac:dyDescent="0.35">
      <c r="A226">
        <v>580</v>
      </c>
      <c r="B226" t="s">
        <v>464</v>
      </c>
      <c r="C226">
        <v>530</v>
      </c>
      <c r="D226">
        <v>11</v>
      </c>
      <c r="E226" t="s">
        <v>23</v>
      </c>
      <c r="F226">
        <v>36.9</v>
      </c>
      <c r="G226">
        <v>585</v>
      </c>
      <c r="H226">
        <v>20</v>
      </c>
      <c r="I226">
        <v>600</v>
      </c>
      <c r="J226">
        <v>2.5</v>
      </c>
      <c r="K226">
        <v>0.08</v>
      </c>
      <c r="L226">
        <v>7</v>
      </c>
      <c r="M226" t="s">
        <v>465</v>
      </c>
      <c r="N226">
        <v>1</v>
      </c>
    </row>
    <row r="227" spans="1:14" x14ac:dyDescent="0.35">
      <c r="A227">
        <v>579</v>
      </c>
      <c r="B227" t="s">
        <v>466</v>
      </c>
      <c r="C227">
        <v>529</v>
      </c>
      <c r="D227">
        <v>9</v>
      </c>
      <c r="E227" t="s">
        <v>44</v>
      </c>
      <c r="F227">
        <v>1.1000000000000001</v>
      </c>
      <c r="G227">
        <v>586</v>
      </c>
      <c r="H227">
        <v>20</v>
      </c>
      <c r="I227">
        <v>600</v>
      </c>
      <c r="J227">
        <v>2.33</v>
      </c>
      <c r="K227">
        <v>0.08</v>
      </c>
      <c r="L227">
        <v>7</v>
      </c>
      <c r="M227" t="s">
        <v>467</v>
      </c>
      <c r="N227">
        <v>1</v>
      </c>
    </row>
    <row r="228" spans="1:14" x14ac:dyDescent="0.35">
      <c r="A228">
        <v>578</v>
      </c>
      <c r="B228" t="s">
        <v>468</v>
      </c>
      <c r="C228">
        <v>528</v>
      </c>
      <c r="D228">
        <v>11</v>
      </c>
      <c r="E228" t="s">
        <v>23</v>
      </c>
      <c r="F228">
        <v>19.100000000000001</v>
      </c>
      <c r="G228">
        <v>588</v>
      </c>
      <c r="H228">
        <v>20</v>
      </c>
      <c r="I228">
        <v>600</v>
      </c>
      <c r="J228">
        <v>2</v>
      </c>
      <c r="K228">
        <v>0.08</v>
      </c>
      <c r="L228">
        <v>7</v>
      </c>
      <c r="M228" t="s">
        <v>469</v>
      </c>
      <c r="N228">
        <v>1</v>
      </c>
    </row>
    <row r="229" spans="1:14" x14ac:dyDescent="0.35">
      <c r="A229">
        <v>577</v>
      </c>
      <c r="B229" t="s">
        <v>470</v>
      </c>
      <c r="C229">
        <v>527</v>
      </c>
      <c r="D229">
        <v>7</v>
      </c>
      <c r="E229" t="s">
        <v>17</v>
      </c>
      <c r="F229">
        <v>2.8</v>
      </c>
      <c r="G229">
        <v>587</v>
      </c>
      <c r="H229">
        <v>20</v>
      </c>
      <c r="I229">
        <v>600</v>
      </c>
      <c r="J229">
        <v>2.17</v>
      </c>
      <c r="K229">
        <v>0.08</v>
      </c>
      <c r="L229">
        <v>7</v>
      </c>
      <c r="M229" t="s">
        <v>471</v>
      </c>
      <c r="N229">
        <v>1</v>
      </c>
    </row>
    <row r="230" spans="1:14" x14ac:dyDescent="0.35">
      <c r="A230">
        <v>576</v>
      </c>
      <c r="B230" t="s">
        <v>472</v>
      </c>
      <c r="C230">
        <v>526</v>
      </c>
      <c r="D230">
        <v>9</v>
      </c>
      <c r="E230" t="s">
        <v>44</v>
      </c>
      <c r="F230">
        <v>1</v>
      </c>
      <c r="G230">
        <v>585</v>
      </c>
      <c r="H230">
        <v>20</v>
      </c>
      <c r="I230">
        <v>600</v>
      </c>
      <c r="J230">
        <v>2.5</v>
      </c>
      <c r="K230">
        <v>0.08</v>
      </c>
      <c r="L230">
        <v>7</v>
      </c>
      <c r="M230" t="s">
        <v>473</v>
      </c>
      <c r="N230">
        <v>1</v>
      </c>
    </row>
    <row r="231" spans="1:14" x14ac:dyDescent="0.35">
      <c r="A231">
        <v>575</v>
      </c>
      <c r="B231" t="s">
        <v>474</v>
      </c>
      <c r="C231">
        <v>525</v>
      </c>
      <c r="D231">
        <v>3</v>
      </c>
      <c r="E231" t="s">
        <v>20</v>
      </c>
      <c r="F231">
        <v>1.3</v>
      </c>
      <c r="G231">
        <v>588</v>
      </c>
      <c r="H231">
        <v>20</v>
      </c>
      <c r="I231">
        <v>600</v>
      </c>
      <c r="J231">
        <v>2</v>
      </c>
      <c r="K231">
        <v>0.08</v>
      </c>
      <c r="L231">
        <v>7</v>
      </c>
      <c r="M231" t="s">
        <v>475</v>
      </c>
      <c r="N231">
        <v>1</v>
      </c>
    </row>
    <row r="232" spans="1:14" x14ac:dyDescent="0.35">
      <c r="A232">
        <v>574</v>
      </c>
      <c r="B232" t="s">
        <v>476</v>
      </c>
      <c r="C232">
        <v>524</v>
      </c>
      <c r="D232">
        <v>11</v>
      </c>
      <c r="E232" t="s">
        <v>23</v>
      </c>
      <c r="F232">
        <v>19.899999999999999</v>
      </c>
      <c r="G232">
        <v>586</v>
      </c>
      <c r="H232">
        <v>20</v>
      </c>
      <c r="I232">
        <v>600</v>
      </c>
      <c r="J232">
        <v>2.33</v>
      </c>
      <c r="K232">
        <v>0.08</v>
      </c>
      <c r="L232">
        <v>7</v>
      </c>
      <c r="M232" t="s">
        <v>477</v>
      </c>
      <c r="N232">
        <v>1</v>
      </c>
    </row>
    <row r="233" spans="1:14" x14ac:dyDescent="0.35">
      <c r="A233">
        <v>573</v>
      </c>
      <c r="B233" t="s">
        <v>478</v>
      </c>
      <c r="C233">
        <v>523</v>
      </c>
      <c r="D233">
        <v>4</v>
      </c>
      <c r="E233" t="s">
        <v>28</v>
      </c>
      <c r="F233">
        <v>2.4</v>
      </c>
      <c r="G233">
        <v>586</v>
      </c>
      <c r="H233">
        <v>20</v>
      </c>
      <c r="I233">
        <v>600</v>
      </c>
      <c r="J233">
        <v>2.33</v>
      </c>
      <c r="K233">
        <v>0.08</v>
      </c>
      <c r="L233">
        <v>7</v>
      </c>
      <c r="M233" t="s">
        <v>479</v>
      </c>
      <c r="N233">
        <v>1</v>
      </c>
    </row>
    <row r="234" spans="1:14" x14ac:dyDescent="0.35">
      <c r="A234">
        <v>572</v>
      </c>
      <c r="B234" t="s">
        <v>480</v>
      </c>
      <c r="C234">
        <v>522</v>
      </c>
      <c r="D234">
        <v>1</v>
      </c>
      <c r="E234" t="s">
        <v>41</v>
      </c>
      <c r="F234">
        <v>3</v>
      </c>
      <c r="G234">
        <v>588</v>
      </c>
      <c r="H234">
        <v>20</v>
      </c>
      <c r="I234">
        <v>600</v>
      </c>
      <c r="J234">
        <v>2</v>
      </c>
      <c r="K234">
        <v>0.08</v>
      </c>
      <c r="L234">
        <v>7.1</v>
      </c>
      <c r="M234" t="s">
        <v>481</v>
      </c>
      <c r="N234">
        <v>1</v>
      </c>
    </row>
    <row r="235" spans="1:14" x14ac:dyDescent="0.35">
      <c r="A235">
        <v>571</v>
      </c>
      <c r="B235" t="s">
        <v>482</v>
      </c>
      <c r="C235">
        <v>521</v>
      </c>
      <c r="D235">
        <v>11</v>
      </c>
      <c r="E235" t="s">
        <v>23</v>
      </c>
      <c r="F235">
        <v>15.7</v>
      </c>
      <c r="G235">
        <v>587</v>
      </c>
      <c r="H235">
        <v>20</v>
      </c>
      <c r="I235">
        <v>600</v>
      </c>
      <c r="J235">
        <v>2.17</v>
      </c>
      <c r="K235">
        <v>0.08</v>
      </c>
      <c r="L235">
        <v>7</v>
      </c>
      <c r="M235" t="s">
        <v>483</v>
      </c>
      <c r="N235">
        <v>1</v>
      </c>
    </row>
    <row r="236" spans="1:14" x14ac:dyDescent="0.35">
      <c r="A236">
        <v>570</v>
      </c>
      <c r="B236" t="s">
        <v>484</v>
      </c>
      <c r="C236">
        <v>520</v>
      </c>
      <c r="D236">
        <v>11</v>
      </c>
      <c r="E236" t="s">
        <v>23</v>
      </c>
      <c r="F236">
        <v>31.3</v>
      </c>
      <c r="G236">
        <v>586</v>
      </c>
      <c r="H236">
        <v>20</v>
      </c>
      <c r="I236">
        <v>600</v>
      </c>
      <c r="J236">
        <v>2.33</v>
      </c>
      <c r="K236">
        <v>0.08</v>
      </c>
      <c r="L236">
        <v>7</v>
      </c>
      <c r="M236" t="s">
        <v>485</v>
      </c>
      <c r="N236">
        <v>1</v>
      </c>
    </row>
    <row r="237" spans="1:14" x14ac:dyDescent="0.35">
      <c r="A237">
        <v>569</v>
      </c>
      <c r="B237" t="s">
        <v>486</v>
      </c>
      <c r="C237">
        <v>519</v>
      </c>
      <c r="D237">
        <v>6</v>
      </c>
      <c r="E237" t="s">
        <v>14</v>
      </c>
      <c r="F237">
        <v>1.3</v>
      </c>
      <c r="G237">
        <v>586</v>
      </c>
      <c r="H237">
        <v>20</v>
      </c>
      <c r="I237">
        <v>600</v>
      </c>
      <c r="J237">
        <v>2.33</v>
      </c>
      <c r="K237">
        <v>0.08</v>
      </c>
      <c r="L237">
        <v>7</v>
      </c>
      <c r="M237" t="s">
        <v>487</v>
      </c>
      <c r="N237">
        <v>1</v>
      </c>
    </row>
    <row r="238" spans="1:14" x14ac:dyDescent="0.35">
      <c r="A238">
        <v>568</v>
      </c>
      <c r="B238" t="s">
        <v>488</v>
      </c>
      <c r="C238">
        <v>518</v>
      </c>
      <c r="D238">
        <v>11</v>
      </c>
      <c r="E238" t="s">
        <v>23</v>
      </c>
      <c r="F238">
        <v>19.2</v>
      </c>
      <c r="G238">
        <v>589</v>
      </c>
      <c r="H238">
        <v>20</v>
      </c>
      <c r="I238">
        <v>600</v>
      </c>
      <c r="J238">
        <v>1.83</v>
      </c>
      <c r="K238">
        <v>0.08</v>
      </c>
      <c r="L238">
        <v>7</v>
      </c>
      <c r="M238" t="s">
        <v>489</v>
      </c>
      <c r="N238">
        <v>1</v>
      </c>
    </row>
    <row r="239" spans="1:14" x14ac:dyDescent="0.35">
      <c r="A239">
        <v>567</v>
      </c>
      <c r="B239" t="s">
        <v>490</v>
      </c>
      <c r="C239">
        <v>517</v>
      </c>
      <c r="D239">
        <v>9</v>
      </c>
      <c r="E239" t="s">
        <v>44</v>
      </c>
      <c r="F239">
        <v>1.2</v>
      </c>
      <c r="G239">
        <v>586</v>
      </c>
      <c r="H239">
        <v>20</v>
      </c>
      <c r="I239">
        <v>600</v>
      </c>
      <c r="J239">
        <v>2.33</v>
      </c>
      <c r="K239">
        <v>0.08</v>
      </c>
      <c r="L239">
        <v>7</v>
      </c>
      <c r="M239" t="s">
        <v>491</v>
      </c>
      <c r="N239">
        <v>1</v>
      </c>
    </row>
    <row r="240" spans="1:14" x14ac:dyDescent="0.35">
      <c r="A240">
        <v>566</v>
      </c>
      <c r="B240" t="s">
        <v>492</v>
      </c>
      <c r="C240" s="3">
        <v>516</v>
      </c>
      <c r="D240">
        <v>3</v>
      </c>
      <c r="E240" t="s">
        <v>20</v>
      </c>
      <c r="F240">
        <v>4.7</v>
      </c>
      <c r="G240">
        <v>587</v>
      </c>
      <c r="H240">
        <v>20</v>
      </c>
      <c r="I240">
        <v>600</v>
      </c>
      <c r="J240">
        <v>2.17</v>
      </c>
      <c r="K240">
        <v>0.08</v>
      </c>
      <c r="L240">
        <v>7</v>
      </c>
      <c r="M240" t="s">
        <v>493</v>
      </c>
      <c r="N240">
        <v>0</v>
      </c>
    </row>
    <row r="241" spans="1:14" x14ac:dyDescent="0.35">
      <c r="A241">
        <v>565</v>
      </c>
      <c r="B241" t="s">
        <v>494</v>
      </c>
      <c r="C241">
        <v>515</v>
      </c>
      <c r="D241">
        <v>7</v>
      </c>
      <c r="E241" t="s">
        <v>17</v>
      </c>
      <c r="F241">
        <v>2.8</v>
      </c>
      <c r="G241">
        <v>587</v>
      </c>
      <c r="H241">
        <v>20</v>
      </c>
      <c r="I241">
        <v>600</v>
      </c>
      <c r="J241">
        <v>2.17</v>
      </c>
      <c r="K241">
        <v>0.08</v>
      </c>
      <c r="L241">
        <v>7</v>
      </c>
      <c r="M241" t="s">
        <v>495</v>
      </c>
      <c r="N241">
        <v>1</v>
      </c>
    </row>
    <row r="242" spans="1:14" x14ac:dyDescent="0.35">
      <c r="A242">
        <v>564</v>
      </c>
      <c r="B242" t="s">
        <v>496</v>
      </c>
      <c r="C242">
        <v>514</v>
      </c>
      <c r="D242">
        <v>11</v>
      </c>
      <c r="E242" t="s">
        <v>23</v>
      </c>
      <c r="F242">
        <v>22.2</v>
      </c>
      <c r="G242">
        <v>587</v>
      </c>
      <c r="H242">
        <v>20</v>
      </c>
      <c r="I242">
        <v>600</v>
      </c>
      <c r="J242">
        <v>2.17</v>
      </c>
      <c r="K242">
        <v>0.08</v>
      </c>
      <c r="L242">
        <v>7</v>
      </c>
      <c r="M242" t="s">
        <v>497</v>
      </c>
      <c r="N242">
        <v>1</v>
      </c>
    </row>
    <row r="243" spans="1:14" x14ac:dyDescent="0.35">
      <c r="A243">
        <v>563</v>
      </c>
      <c r="B243" t="s">
        <v>498</v>
      </c>
      <c r="C243">
        <v>513</v>
      </c>
      <c r="D243">
        <v>11</v>
      </c>
      <c r="E243" t="s">
        <v>23</v>
      </c>
      <c r="F243">
        <v>15.9</v>
      </c>
      <c r="G243">
        <v>586</v>
      </c>
      <c r="H243">
        <v>20</v>
      </c>
      <c r="I243">
        <v>600</v>
      </c>
      <c r="J243">
        <v>2.33</v>
      </c>
      <c r="K243">
        <v>0.08</v>
      </c>
      <c r="L243">
        <v>7</v>
      </c>
      <c r="M243" t="s">
        <v>499</v>
      </c>
      <c r="N243">
        <v>1</v>
      </c>
    </row>
    <row r="244" spans="1:14" x14ac:dyDescent="0.35">
      <c r="A244">
        <v>562</v>
      </c>
      <c r="B244" t="s">
        <v>500</v>
      </c>
      <c r="C244">
        <v>512</v>
      </c>
      <c r="D244">
        <v>3</v>
      </c>
      <c r="E244" t="s">
        <v>20</v>
      </c>
      <c r="F244">
        <v>1.1000000000000001</v>
      </c>
      <c r="G244">
        <v>586</v>
      </c>
      <c r="H244">
        <v>20</v>
      </c>
      <c r="I244">
        <v>600</v>
      </c>
      <c r="J244">
        <v>2.33</v>
      </c>
      <c r="K244">
        <v>0.08</v>
      </c>
      <c r="L244">
        <v>7</v>
      </c>
      <c r="M244" t="s">
        <v>501</v>
      </c>
      <c r="N244">
        <v>1</v>
      </c>
    </row>
    <row r="245" spans="1:14" x14ac:dyDescent="0.35">
      <c r="A245">
        <v>561</v>
      </c>
      <c r="B245" t="s">
        <v>502</v>
      </c>
      <c r="C245">
        <v>511</v>
      </c>
      <c r="D245">
        <v>5</v>
      </c>
      <c r="E245" t="s">
        <v>35</v>
      </c>
      <c r="F245">
        <v>1.1000000000000001</v>
      </c>
      <c r="G245">
        <v>589</v>
      </c>
      <c r="H245">
        <v>20</v>
      </c>
      <c r="I245">
        <v>600</v>
      </c>
      <c r="J245">
        <v>1.83</v>
      </c>
      <c r="K245">
        <v>0.08</v>
      </c>
      <c r="L245">
        <v>6.9</v>
      </c>
      <c r="M245" t="s">
        <v>503</v>
      </c>
      <c r="N245">
        <v>1</v>
      </c>
    </row>
    <row r="246" spans="1:14" x14ac:dyDescent="0.35">
      <c r="A246">
        <v>560</v>
      </c>
      <c r="B246" t="s">
        <v>504</v>
      </c>
      <c r="C246">
        <v>510</v>
      </c>
      <c r="D246">
        <v>9</v>
      </c>
      <c r="E246" t="s">
        <v>44</v>
      </c>
      <c r="F246">
        <v>1</v>
      </c>
      <c r="G246">
        <v>587</v>
      </c>
      <c r="H246">
        <v>20</v>
      </c>
      <c r="I246">
        <v>600</v>
      </c>
      <c r="J246">
        <v>2.17</v>
      </c>
      <c r="K246">
        <v>0.08</v>
      </c>
      <c r="L246">
        <v>7</v>
      </c>
      <c r="M246" t="s">
        <v>505</v>
      </c>
      <c r="N246">
        <v>1</v>
      </c>
    </row>
    <row r="247" spans="1:14" x14ac:dyDescent="0.35">
      <c r="A247">
        <v>559</v>
      </c>
      <c r="B247" t="s">
        <v>506</v>
      </c>
      <c r="C247">
        <v>509</v>
      </c>
      <c r="D247">
        <v>2</v>
      </c>
      <c r="E247" t="s">
        <v>74</v>
      </c>
      <c r="F247">
        <v>1.3</v>
      </c>
      <c r="G247">
        <v>586</v>
      </c>
      <c r="H247">
        <v>20</v>
      </c>
      <c r="I247">
        <v>600</v>
      </c>
      <c r="J247">
        <v>2.33</v>
      </c>
      <c r="K247">
        <v>0.08</v>
      </c>
      <c r="L247">
        <v>7</v>
      </c>
      <c r="M247" t="s">
        <v>507</v>
      </c>
      <c r="N247">
        <v>1</v>
      </c>
    </row>
    <row r="248" spans="1:14" x14ac:dyDescent="0.35">
      <c r="A248">
        <v>558</v>
      </c>
      <c r="B248" t="s">
        <v>508</v>
      </c>
      <c r="C248">
        <v>508</v>
      </c>
      <c r="D248">
        <v>6</v>
      </c>
      <c r="E248" t="s">
        <v>14</v>
      </c>
      <c r="F248">
        <v>1.2</v>
      </c>
      <c r="G248">
        <v>586</v>
      </c>
      <c r="H248">
        <v>20</v>
      </c>
      <c r="I248">
        <v>600</v>
      </c>
      <c r="J248">
        <v>2.33</v>
      </c>
      <c r="K248">
        <v>0.08</v>
      </c>
      <c r="L248">
        <v>7</v>
      </c>
      <c r="M248" t="s">
        <v>509</v>
      </c>
      <c r="N248">
        <v>1</v>
      </c>
    </row>
    <row r="249" spans="1:14" x14ac:dyDescent="0.35">
      <c r="A249">
        <v>557</v>
      </c>
      <c r="B249" t="s">
        <v>510</v>
      </c>
      <c r="C249">
        <v>507</v>
      </c>
      <c r="D249">
        <v>8</v>
      </c>
      <c r="E249" t="s">
        <v>38</v>
      </c>
      <c r="F249">
        <v>2.2999999999999998</v>
      </c>
      <c r="G249">
        <v>587</v>
      </c>
      <c r="H249">
        <v>20</v>
      </c>
      <c r="I249">
        <v>600</v>
      </c>
      <c r="J249">
        <v>2.17</v>
      </c>
      <c r="K249">
        <v>0.08</v>
      </c>
      <c r="L249">
        <v>7</v>
      </c>
      <c r="M249" t="s">
        <v>511</v>
      </c>
      <c r="N249">
        <v>1</v>
      </c>
    </row>
    <row r="250" spans="1:14" x14ac:dyDescent="0.35">
      <c r="A250">
        <v>556</v>
      </c>
      <c r="B250" t="s">
        <v>512</v>
      </c>
      <c r="C250">
        <v>506</v>
      </c>
      <c r="D250">
        <v>7</v>
      </c>
      <c r="E250" t="s">
        <v>17</v>
      </c>
      <c r="F250">
        <v>2.8</v>
      </c>
      <c r="G250">
        <v>587</v>
      </c>
      <c r="H250">
        <v>20</v>
      </c>
      <c r="I250">
        <v>600</v>
      </c>
      <c r="J250">
        <v>2.17</v>
      </c>
      <c r="K250">
        <v>0.08</v>
      </c>
      <c r="L250">
        <v>7</v>
      </c>
      <c r="M250" t="s">
        <v>513</v>
      </c>
      <c r="N250">
        <v>1</v>
      </c>
    </row>
    <row r="251" spans="1:14" x14ac:dyDescent="0.35">
      <c r="A251">
        <v>555</v>
      </c>
      <c r="B251" t="s">
        <v>514</v>
      </c>
      <c r="C251">
        <v>505</v>
      </c>
      <c r="D251">
        <v>3</v>
      </c>
      <c r="E251" t="s">
        <v>20</v>
      </c>
      <c r="F251">
        <v>1.1000000000000001</v>
      </c>
      <c r="G251">
        <v>587</v>
      </c>
      <c r="H251">
        <v>20</v>
      </c>
      <c r="I251">
        <v>600</v>
      </c>
      <c r="J251">
        <v>2.17</v>
      </c>
      <c r="K251">
        <v>0.08</v>
      </c>
      <c r="L251">
        <v>7</v>
      </c>
      <c r="M251" t="s">
        <v>515</v>
      </c>
      <c r="N251">
        <v>1</v>
      </c>
    </row>
    <row r="252" spans="1:14" x14ac:dyDescent="0.35">
      <c r="A252">
        <v>554</v>
      </c>
      <c r="B252" t="s">
        <v>516</v>
      </c>
      <c r="C252">
        <v>504</v>
      </c>
      <c r="D252">
        <v>11</v>
      </c>
      <c r="E252" t="s">
        <v>23</v>
      </c>
      <c r="F252">
        <v>15.8</v>
      </c>
      <c r="G252">
        <v>586</v>
      </c>
      <c r="H252">
        <v>20</v>
      </c>
      <c r="I252">
        <v>600</v>
      </c>
      <c r="J252">
        <v>2.33</v>
      </c>
      <c r="K252">
        <v>0.08</v>
      </c>
      <c r="L252">
        <v>7</v>
      </c>
      <c r="M252" t="s">
        <v>517</v>
      </c>
      <c r="N252">
        <v>1</v>
      </c>
    </row>
    <row r="253" spans="1:14" x14ac:dyDescent="0.35">
      <c r="A253">
        <v>553</v>
      </c>
      <c r="B253" t="s">
        <v>518</v>
      </c>
      <c r="C253">
        <v>503</v>
      </c>
      <c r="D253">
        <v>4</v>
      </c>
      <c r="E253" t="s">
        <v>28</v>
      </c>
      <c r="F253">
        <v>2.2999999999999998</v>
      </c>
      <c r="G253">
        <v>585</v>
      </c>
      <c r="H253">
        <v>20</v>
      </c>
      <c r="I253">
        <v>600</v>
      </c>
      <c r="J253">
        <v>2.5</v>
      </c>
      <c r="K253">
        <v>0.08</v>
      </c>
      <c r="L253">
        <v>7</v>
      </c>
      <c r="M253" t="s">
        <v>519</v>
      </c>
      <c r="N253">
        <v>1</v>
      </c>
    </row>
    <row r="254" spans="1:14" x14ac:dyDescent="0.35">
      <c r="A254">
        <v>552</v>
      </c>
      <c r="B254" t="s">
        <v>520</v>
      </c>
      <c r="C254">
        <v>502</v>
      </c>
      <c r="D254">
        <v>1</v>
      </c>
      <c r="E254" t="s">
        <v>41</v>
      </c>
      <c r="F254">
        <v>3</v>
      </c>
      <c r="G254">
        <v>587</v>
      </c>
      <c r="H254">
        <v>20</v>
      </c>
      <c r="I254">
        <v>600</v>
      </c>
      <c r="J254">
        <v>2.17</v>
      </c>
      <c r="K254">
        <v>0.08</v>
      </c>
      <c r="L254">
        <v>7</v>
      </c>
      <c r="M254" t="s">
        <v>521</v>
      </c>
      <c r="N254">
        <v>1</v>
      </c>
    </row>
    <row r="255" spans="1:14" x14ac:dyDescent="0.35">
      <c r="A255">
        <v>551</v>
      </c>
      <c r="B255" t="s">
        <v>522</v>
      </c>
      <c r="C255">
        <v>501</v>
      </c>
      <c r="D255">
        <v>12</v>
      </c>
      <c r="E255" t="s">
        <v>59</v>
      </c>
      <c r="F255">
        <v>0</v>
      </c>
      <c r="G255">
        <v>585</v>
      </c>
      <c r="H255">
        <v>20</v>
      </c>
      <c r="I255">
        <v>600</v>
      </c>
      <c r="J255">
        <v>2.5</v>
      </c>
      <c r="K255">
        <v>0.08</v>
      </c>
      <c r="L255">
        <v>7.1</v>
      </c>
      <c r="M255" t="s">
        <v>523</v>
      </c>
      <c r="N255">
        <v>1</v>
      </c>
    </row>
    <row r="256" spans="1:14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x14ac:dyDescent="0.35">
      <c r="A257">
        <v>550</v>
      </c>
      <c r="B257" t="s">
        <v>524</v>
      </c>
      <c r="C257">
        <v>500</v>
      </c>
      <c r="D257">
        <v>8</v>
      </c>
      <c r="E257" t="s">
        <v>38</v>
      </c>
      <c r="F257">
        <v>2.1</v>
      </c>
      <c r="G257">
        <v>1192</v>
      </c>
      <c r="H257">
        <v>40</v>
      </c>
      <c r="I257">
        <v>1200</v>
      </c>
      <c r="J257">
        <v>0.67</v>
      </c>
      <c r="K257">
        <v>0.16200000000000001</v>
      </c>
      <c r="L257">
        <v>3.5</v>
      </c>
      <c r="M257" t="s">
        <v>525</v>
      </c>
      <c r="N257">
        <v>1</v>
      </c>
    </row>
    <row r="258" spans="1:14" x14ac:dyDescent="0.35">
      <c r="A258">
        <v>549</v>
      </c>
      <c r="B258" t="s">
        <v>526</v>
      </c>
      <c r="C258">
        <v>499</v>
      </c>
      <c r="D258">
        <v>11</v>
      </c>
      <c r="E258" t="s">
        <v>23</v>
      </c>
      <c r="F258">
        <v>40.700000000000003</v>
      </c>
      <c r="G258">
        <v>1190</v>
      </c>
      <c r="H258">
        <v>40</v>
      </c>
      <c r="I258">
        <v>1200</v>
      </c>
      <c r="J258">
        <v>0.83</v>
      </c>
      <c r="K258">
        <v>0.16200000000000001</v>
      </c>
      <c r="L258">
        <v>3.5</v>
      </c>
      <c r="M258" t="s">
        <v>527</v>
      </c>
      <c r="N258">
        <v>1</v>
      </c>
    </row>
    <row r="259" spans="1:14" x14ac:dyDescent="0.35">
      <c r="A259">
        <v>548</v>
      </c>
      <c r="B259" t="s">
        <v>528</v>
      </c>
      <c r="C259">
        <v>498</v>
      </c>
      <c r="D259">
        <v>4</v>
      </c>
      <c r="E259" t="s">
        <v>28</v>
      </c>
      <c r="F259">
        <v>2.2999999999999998</v>
      </c>
      <c r="G259">
        <v>1190</v>
      </c>
      <c r="H259">
        <v>40</v>
      </c>
      <c r="I259">
        <v>1200</v>
      </c>
      <c r="J259">
        <v>0.83</v>
      </c>
      <c r="K259">
        <v>0.16200000000000001</v>
      </c>
      <c r="L259">
        <v>3.5</v>
      </c>
      <c r="M259" t="s">
        <v>529</v>
      </c>
      <c r="N259">
        <v>1</v>
      </c>
    </row>
    <row r="260" spans="1:14" x14ac:dyDescent="0.35">
      <c r="A260">
        <v>547</v>
      </c>
      <c r="B260" t="s">
        <v>530</v>
      </c>
      <c r="C260">
        <v>497</v>
      </c>
      <c r="D260">
        <v>7</v>
      </c>
      <c r="E260" t="s">
        <v>17</v>
      </c>
      <c r="F260">
        <v>2.7</v>
      </c>
      <c r="G260">
        <v>1192</v>
      </c>
      <c r="H260">
        <v>40</v>
      </c>
      <c r="I260">
        <v>1200</v>
      </c>
      <c r="J260">
        <v>0.67</v>
      </c>
      <c r="K260">
        <v>0.16200000000000001</v>
      </c>
      <c r="L260">
        <v>3.5</v>
      </c>
      <c r="M260" t="s">
        <v>531</v>
      </c>
      <c r="N260">
        <v>1</v>
      </c>
    </row>
    <row r="261" spans="1:14" x14ac:dyDescent="0.35">
      <c r="A261">
        <v>546</v>
      </c>
      <c r="B261" t="s">
        <v>532</v>
      </c>
      <c r="C261">
        <v>496</v>
      </c>
      <c r="D261">
        <v>11</v>
      </c>
      <c r="E261" t="s">
        <v>23</v>
      </c>
      <c r="F261">
        <v>18.100000000000001</v>
      </c>
      <c r="G261">
        <v>1190</v>
      </c>
      <c r="H261">
        <v>40</v>
      </c>
      <c r="I261">
        <v>1200</v>
      </c>
      <c r="J261">
        <v>0.83</v>
      </c>
      <c r="K261">
        <v>0.16200000000000001</v>
      </c>
      <c r="L261">
        <v>3.5</v>
      </c>
      <c r="M261" t="s">
        <v>533</v>
      </c>
      <c r="N261">
        <v>1</v>
      </c>
    </row>
    <row r="262" spans="1:14" x14ac:dyDescent="0.35">
      <c r="A262">
        <v>545</v>
      </c>
      <c r="B262" t="s">
        <v>534</v>
      </c>
      <c r="C262">
        <v>495</v>
      </c>
      <c r="D262">
        <v>2</v>
      </c>
      <c r="E262" t="s">
        <v>74</v>
      </c>
      <c r="F262">
        <v>1.4</v>
      </c>
      <c r="G262">
        <v>1191</v>
      </c>
      <c r="H262">
        <v>40</v>
      </c>
      <c r="I262">
        <v>1200</v>
      </c>
      <c r="J262">
        <v>0.75</v>
      </c>
      <c r="K262">
        <v>0.16200000000000001</v>
      </c>
      <c r="L262">
        <v>3.5</v>
      </c>
      <c r="M262" t="s">
        <v>535</v>
      </c>
      <c r="N262">
        <v>1</v>
      </c>
    </row>
    <row r="263" spans="1:14" x14ac:dyDescent="0.35">
      <c r="A263">
        <v>544</v>
      </c>
      <c r="B263" t="s">
        <v>536</v>
      </c>
      <c r="C263">
        <v>494</v>
      </c>
      <c r="D263">
        <v>6</v>
      </c>
      <c r="E263" t="s">
        <v>14</v>
      </c>
      <c r="F263">
        <v>1.2</v>
      </c>
      <c r="G263">
        <v>1193</v>
      </c>
      <c r="H263">
        <v>40</v>
      </c>
      <c r="I263">
        <v>1200</v>
      </c>
      <c r="J263">
        <v>0.57999999999999996</v>
      </c>
      <c r="K263">
        <v>0.16200000000000001</v>
      </c>
      <c r="L263">
        <v>3.5</v>
      </c>
      <c r="M263" t="s">
        <v>537</v>
      </c>
      <c r="N263">
        <v>1</v>
      </c>
    </row>
    <row r="264" spans="1:14" x14ac:dyDescent="0.35">
      <c r="A264">
        <v>543</v>
      </c>
      <c r="B264" t="s">
        <v>538</v>
      </c>
      <c r="C264" s="3">
        <v>493</v>
      </c>
      <c r="D264">
        <v>12</v>
      </c>
      <c r="E264" t="s">
        <v>59</v>
      </c>
      <c r="F264">
        <v>0</v>
      </c>
      <c r="G264">
        <v>1189</v>
      </c>
      <c r="H264">
        <v>40</v>
      </c>
      <c r="I264">
        <v>1200</v>
      </c>
      <c r="J264">
        <v>0.92</v>
      </c>
      <c r="K264">
        <v>0.16200000000000001</v>
      </c>
      <c r="L264">
        <v>3.5</v>
      </c>
      <c r="M264" t="s">
        <v>539</v>
      </c>
      <c r="N264">
        <v>0</v>
      </c>
    </row>
    <row r="265" spans="1:14" x14ac:dyDescent="0.35">
      <c r="A265">
        <v>542</v>
      </c>
      <c r="B265" t="s">
        <v>540</v>
      </c>
      <c r="C265">
        <v>492</v>
      </c>
      <c r="D265">
        <v>11</v>
      </c>
      <c r="E265" t="s">
        <v>23</v>
      </c>
      <c r="F265">
        <v>13.3</v>
      </c>
      <c r="G265">
        <v>1192</v>
      </c>
      <c r="H265">
        <v>40</v>
      </c>
      <c r="I265">
        <v>1200</v>
      </c>
      <c r="J265">
        <v>0.67</v>
      </c>
      <c r="K265">
        <v>0.16200000000000001</v>
      </c>
      <c r="L265">
        <v>3.4</v>
      </c>
      <c r="M265" t="s">
        <v>541</v>
      </c>
      <c r="N265">
        <v>1</v>
      </c>
    </row>
    <row r="266" spans="1:14" x14ac:dyDescent="0.35">
      <c r="A266">
        <v>541</v>
      </c>
      <c r="B266" t="s">
        <v>542</v>
      </c>
      <c r="C266">
        <v>491</v>
      </c>
      <c r="D266">
        <v>8</v>
      </c>
      <c r="E266" t="s">
        <v>38</v>
      </c>
      <c r="F266">
        <v>1.9</v>
      </c>
      <c r="G266">
        <v>1191</v>
      </c>
      <c r="H266">
        <v>40</v>
      </c>
      <c r="I266">
        <v>1200</v>
      </c>
      <c r="J266">
        <v>0.75</v>
      </c>
      <c r="K266">
        <v>0.16200000000000001</v>
      </c>
      <c r="L266">
        <v>3.5</v>
      </c>
      <c r="M266" t="s">
        <v>543</v>
      </c>
      <c r="N266">
        <v>1</v>
      </c>
    </row>
    <row r="267" spans="1:14" x14ac:dyDescent="0.35">
      <c r="A267">
        <v>540</v>
      </c>
      <c r="B267" t="s">
        <v>544</v>
      </c>
      <c r="C267">
        <v>490</v>
      </c>
      <c r="D267">
        <v>11</v>
      </c>
      <c r="E267" t="s">
        <v>23</v>
      </c>
      <c r="F267">
        <v>18.899999999999999</v>
      </c>
      <c r="G267">
        <v>1194</v>
      </c>
      <c r="H267">
        <v>40</v>
      </c>
      <c r="I267">
        <v>1200</v>
      </c>
      <c r="J267">
        <v>0.5</v>
      </c>
      <c r="K267">
        <v>0.16200000000000001</v>
      </c>
      <c r="L267">
        <v>3.4</v>
      </c>
      <c r="M267" t="s">
        <v>545</v>
      </c>
      <c r="N267">
        <v>1</v>
      </c>
    </row>
    <row r="268" spans="1:14" x14ac:dyDescent="0.35">
      <c r="A268">
        <v>539</v>
      </c>
      <c r="B268" t="s">
        <v>546</v>
      </c>
      <c r="C268">
        <v>489</v>
      </c>
      <c r="D268">
        <v>11</v>
      </c>
      <c r="E268" t="s">
        <v>23</v>
      </c>
      <c r="F268">
        <v>19.5</v>
      </c>
      <c r="G268">
        <v>1189</v>
      </c>
      <c r="H268">
        <v>40</v>
      </c>
      <c r="I268">
        <v>1200</v>
      </c>
      <c r="J268">
        <v>0.92</v>
      </c>
      <c r="K268">
        <v>0.16200000000000001</v>
      </c>
      <c r="L268">
        <v>3.5</v>
      </c>
      <c r="M268" t="s">
        <v>547</v>
      </c>
      <c r="N268">
        <v>1</v>
      </c>
    </row>
    <row r="269" spans="1:14" x14ac:dyDescent="0.35">
      <c r="A269">
        <v>538</v>
      </c>
      <c r="B269" t="s">
        <v>548</v>
      </c>
      <c r="C269">
        <v>488</v>
      </c>
      <c r="D269">
        <v>11</v>
      </c>
      <c r="E269" t="s">
        <v>23</v>
      </c>
      <c r="F269">
        <v>14.6</v>
      </c>
      <c r="G269">
        <v>1191</v>
      </c>
      <c r="H269">
        <v>40</v>
      </c>
      <c r="I269">
        <v>1200</v>
      </c>
      <c r="J269">
        <v>0.75</v>
      </c>
      <c r="K269">
        <v>0.16200000000000001</v>
      </c>
      <c r="L269">
        <v>3.5</v>
      </c>
      <c r="M269" t="s">
        <v>549</v>
      </c>
      <c r="N269">
        <v>1</v>
      </c>
    </row>
    <row r="270" spans="1:14" x14ac:dyDescent="0.35">
      <c r="A270">
        <v>537</v>
      </c>
      <c r="B270" t="s">
        <v>550</v>
      </c>
      <c r="C270">
        <v>487</v>
      </c>
      <c r="D270">
        <v>9</v>
      </c>
      <c r="E270" t="s">
        <v>44</v>
      </c>
      <c r="F270">
        <v>1.2</v>
      </c>
      <c r="G270">
        <v>1192</v>
      </c>
      <c r="H270">
        <v>40</v>
      </c>
      <c r="I270">
        <v>1200</v>
      </c>
      <c r="J270">
        <v>0.67</v>
      </c>
      <c r="K270">
        <v>0.16200000000000001</v>
      </c>
      <c r="L270">
        <v>3.5</v>
      </c>
      <c r="M270" t="s">
        <v>551</v>
      </c>
      <c r="N270">
        <v>1</v>
      </c>
    </row>
    <row r="271" spans="1:14" x14ac:dyDescent="0.35">
      <c r="A271">
        <v>536</v>
      </c>
      <c r="B271" t="s">
        <v>552</v>
      </c>
      <c r="C271">
        <v>486</v>
      </c>
      <c r="D271">
        <v>11</v>
      </c>
      <c r="E271" t="s">
        <v>23</v>
      </c>
      <c r="F271">
        <v>18.5</v>
      </c>
      <c r="G271">
        <v>1192</v>
      </c>
      <c r="H271">
        <v>40</v>
      </c>
      <c r="I271">
        <v>1200</v>
      </c>
      <c r="J271">
        <v>0.67</v>
      </c>
      <c r="K271">
        <v>0.16200000000000001</v>
      </c>
      <c r="L271">
        <v>3.5</v>
      </c>
      <c r="M271" t="s">
        <v>553</v>
      </c>
      <c r="N271">
        <v>1</v>
      </c>
    </row>
    <row r="272" spans="1:14" x14ac:dyDescent="0.35">
      <c r="A272">
        <v>535</v>
      </c>
      <c r="B272" t="s">
        <v>554</v>
      </c>
      <c r="C272">
        <v>485</v>
      </c>
      <c r="D272">
        <v>3</v>
      </c>
      <c r="E272" t="s">
        <v>20</v>
      </c>
      <c r="F272">
        <v>1</v>
      </c>
      <c r="G272">
        <v>1191</v>
      </c>
      <c r="H272">
        <v>40</v>
      </c>
      <c r="I272">
        <v>1200</v>
      </c>
      <c r="J272">
        <v>0.75</v>
      </c>
      <c r="K272">
        <v>0.16200000000000001</v>
      </c>
      <c r="L272">
        <v>3.4</v>
      </c>
      <c r="M272" t="s">
        <v>555</v>
      </c>
      <c r="N272">
        <v>1</v>
      </c>
    </row>
    <row r="273" spans="1:14" x14ac:dyDescent="0.35">
      <c r="A273">
        <v>534</v>
      </c>
      <c r="B273" t="s">
        <v>556</v>
      </c>
      <c r="C273">
        <v>484</v>
      </c>
      <c r="D273">
        <v>2</v>
      </c>
      <c r="E273" t="s">
        <v>74</v>
      </c>
      <c r="F273">
        <v>1.1000000000000001</v>
      </c>
      <c r="G273">
        <v>1192</v>
      </c>
      <c r="H273">
        <v>40</v>
      </c>
      <c r="I273">
        <v>1200</v>
      </c>
      <c r="J273">
        <v>0.67</v>
      </c>
      <c r="K273">
        <v>0.16200000000000001</v>
      </c>
      <c r="L273">
        <v>3.5</v>
      </c>
      <c r="M273" t="s">
        <v>557</v>
      </c>
      <c r="N273">
        <v>1</v>
      </c>
    </row>
    <row r="274" spans="1:14" x14ac:dyDescent="0.35">
      <c r="A274">
        <v>533</v>
      </c>
      <c r="B274" t="s">
        <v>558</v>
      </c>
      <c r="C274">
        <v>483</v>
      </c>
      <c r="D274">
        <v>11</v>
      </c>
      <c r="E274" t="s">
        <v>23</v>
      </c>
      <c r="F274">
        <v>19.600000000000001</v>
      </c>
      <c r="G274">
        <v>1191</v>
      </c>
      <c r="H274">
        <v>40</v>
      </c>
      <c r="I274">
        <v>1200</v>
      </c>
      <c r="J274">
        <v>0.75</v>
      </c>
      <c r="K274">
        <v>0.16200000000000001</v>
      </c>
      <c r="L274">
        <v>3.5</v>
      </c>
      <c r="M274" t="s">
        <v>559</v>
      </c>
      <c r="N274">
        <v>1</v>
      </c>
    </row>
    <row r="275" spans="1:14" x14ac:dyDescent="0.35">
      <c r="A275">
        <v>532</v>
      </c>
      <c r="B275" t="s">
        <v>560</v>
      </c>
      <c r="C275">
        <v>482</v>
      </c>
      <c r="D275">
        <v>11</v>
      </c>
      <c r="E275" t="s">
        <v>23</v>
      </c>
      <c r="F275">
        <v>14.8</v>
      </c>
      <c r="G275">
        <v>1190</v>
      </c>
      <c r="H275">
        <v>40</v>
      </c>
      <c r="I275">
        <v>1200</v>
      </c>
      <c r="J275">
        <v>0.83</v>
      </c>
      <c r="K275">
        <v>0.16200000000000001</v>
      </c>
      <c r="L275">
        <v>3.5</v>
      </c>
      <c r="M275" t="s">
        <v>561</v>
      </c>
      <c r="N275">
        <v>1</v>
      </c>
    </row>
    <row r="276" spans="1:14" x14ac:dyDescent="0.35">
      <c r="A276">
        <v>531</v>
      </c>
      <c r="B276" t="s">
        <v>562</v>
      </c>
      <c r="C276" s="3">
        <v>481</v>
      </c>
      <c r="D276">
        <v>12</v>
      </c>
      <c r="E276" t="s">
        <v>59</v>
      </c>
      <c r="F276">
        <v>0</v>
      </c>
      <c r="G276">
        <v>1192</v>
      </c>
      <c r="H276">
        <v>40</v>
      </c>
      <c r="I276">
        <v>1200</v>
      </c>
      <c r="J276">
        <v>0.67</v>
      </c>
      <c r="K276">
        <v>0.16200000000000001</v>
      </c>
      <c r="L276">
        <v>3.5</v>
      </c>
      <c r="M276" t="s">
        <v>563</v>
      </c>
      <c r="N276">
        <v>0</v>
      </c>
    </row>
    <row r="277" spans="1:14" x14ac:dyDescent="0.35">
      <c r="A277">
        <v>530</v>
      </c>
      <c r="B277" t="s">
        <v>564</v>
      </c>
      <c r="C277">
        <v>480</v>
      </c>
      <c r="D277">
        <v>2</v>
      </c>
      <c r="E277" t="s">
        <v>74</v>
      </c>
      <c r="F277">
        <v>1.2</v>
      </c>
      <c r="G277">
        <v>1192</v>
      </c>
      <c r="H277">
        <v>40</v>
      </c>
      <c r="I277">
        <v>1200</v>
      </c>
      <c r="J277">
        <v>0.67</v>
      </c>
      <c r="K277">
        <v>0.16200000000000001</v>
      </c>
      <c r="L277">
        <v>3.5</v>
      </c>
      <c r="M277" t="s">
        <v>565</v>
      </c>
      <c r="N277">
        <v>1</v>
      </c>
    </row>
    <row r="278" spans="1:14" x14ac:dyDescent="0.35">
      <c r="A278">
        <v>529</v>
      </c>
      <c r="B278" t="s">
        <v>566</v>
      </c>
      <c r="C278">
        <v>479</v>
      </c>
      <c r="D278">
        <v>4</v>
      </c>
      <c r="E278" t="s">
        <v>28</v>
      </c>
      <c r="F278">
        <v>2.2000000000000002</v>
      </c>
      <c r="G278">
        <v>1191</v>
      </c>
      <c r="H278">
        <v>40</v>
      </c>
      <c r="I278">
        <v>1200</v>
      </c>
      <c r="J278">
        <v>0.75</v>
      </c>
      <c r="K278">
        <v>0.16200000000000001</v>
      </c>
      <c r="L278">
        <v>3.5</v>
      </c>
      <c r="M278" t="s">
        <v>567</v>
      </c>
      <c r="N278">
        <v>1</v>
      </c>
    </row>
    <row r="279" spans="1:14" x14ac:dyDescent="0.35">
      <c r="A279">
        <v>528</v>
      </c>
      <c r="B279" t="s">
        <v>568</v>
      </c>
      <c r="C279">
        <v>478</v>
      </c>
      <c r="D279">
        <v>3</v>
      </c>
      <c r="E279" t="s">
        <v>20</v>
      </c>
      <c r="F279">
        <v>1.3</v>
      </c>
      <c r="G279">
        <v>1191</v>
      </c>
      <c r="H279">
        <v>40</v>
      </c>
      <c r="I279">
        <v>1200</v>
      </c>
      <c r="J279">
        <v>0.75</v>
      </c>
      <c r="K279">
        <v>0.16200000000000001</v>
      </c>
      <c r="L279">
        <v>3.5</v>
      </c>
      <c r="M279" t="s">
        <v>569</v>
      </c>
      <c r="N279">
        <v>1</v>
      </c>
    </row>
    <row r="280" spans="1:14" x14ac:dyDescent="0.35">
      <c r="A280">
        <v>527</v>
      </c>
      <c r="B280" t="s">
        <v>570</v>
      </c>
      <c r="C280">
        <v>477</v>
      </c>
      <c r="D280">
        <v>7</v>
      </c>
      <c r="E280" t="s">
        <v>17</v>
      </c>
      <c r="F280">
        <v>2.7</v>
      </c>
      <c r="G280">
        <v>1191</v>
      </c>
      <c r="H280">
        <v>40</v>
      </c>
      <c r="I280">
        <v>1200</v>
      </c>
      <c r="J280">
        <v>0.75</v>
      </c>
      <c r="K280">
        <v>0.16200000000000001</v>
      </c>
      <c r="L280">
        <v>3.4</v>
      </c>
      <c r="M280" t="s">
        <v>571</v>
      </c>
      <c r="N280">
        <v>1</v>
      </c>
    </row>
    <row r="281" spans="1:14" x14ac:dyDescent="0.35">
      <c r="A281">
        <v>526</v>
      </c>
      <c r="B281" t="s">
        <v>572</v>
      </c>
      <c r="C281" s="3">
        <v>476</v>
      </c>
      <c r="D281">
        <v>12</v>
      </c>
      <c r="E281" t="s">
        <v>59</v>
      </c>
      <c r="F281">
        <v>0</v>
      </c>
      <c r="G281">
        <v>1190</v>
      </c>
      <c r="H281">
        <v>40</v>
      </c>
      <c r="I281">
        <v>1200</v>
      </c>
      <c r="J281">
        <v>0.83</v>
      </c>
      <c r="K281">
        <v>0.16200000000000001</v>
      </c>
      <c r="L281">
        <v>3.5</v>
      </c>
      <c r="M281" t="s">
        <v>573</v>
      </c>
      <c r="N281">
        <v>0</v>
      </c>
    </row>
    <row r="282" spans="1:14" x14ac:dyDescent="0.35">
      <c r="A282">
        <v>525</v>
      </c>
      <c r="B282" t="s">
        <v>574</v>
      </c>
      <c r="C282">
        <v>475</v>
      </c>
      <c r="D282">
        <v>5</v>
      </c>
      <c r="E282" t="s">
        <v>35</v>
      </c>
      <c r="F282">
        <v>1</v>
      </c>
      <c r="G282">
        <v>1191</v>
      </c>
      <c r="H282">
        <v>40</v>
      </c>
      <c r="I282">
        <v>1200</v>
      </c>
      <c r="J282">
        <v>0.75</v>
      </c>
      <c r="K282">
        <v>0.16200000000000001</v>
      </c>
      <c r="L282">
        <v>3.5</v>
      </c>
      <c r="M282" t="s">
        <v>575</v>
      </c>
      <c r="N282">
        <v>1</v>
      </c>
    </row>
    <row r="283" spans="1:14" x14ac:dyDescent="0.35">
      <c r="A283">
        <v>524</v>
      </c>
      <c r="B283" t="s">
        <v>576</v>
      </c>
      <c r="C283">
        <v>474</v>
      </c>
      <c r="D283">
        <v>11</v>
      </c>
      <c r="E283" t="s">
        <v>23</v>
      </c>
      <c r="F283">
        <v>13.6</v>
      </c>
      <c r="G283">
        <v>1190</v>
      </c>
      <c r="H283">
        <v>40</v>
      </c>
      <c r="I283">
        <v>1200</v>
      </c>
      <c r="J283">
        <v>0.83</v>
      </c>
      <c r="K283">
        <v>0.16200000000000001</v>
      </c>
      <c r="L283">
        <v>3.5</v>
      </c>
      <c r="M283" t="s">
        <v>577</v>
      </c>
      <c r="N283">
        <v>1</v>
      </c>
    </row>
    <row r="284" spans="1:14" x14ac:dyDescent="0.35">
      <c r="A284">
        <v>523</v>
      </c>
      <c r="B284" t="s">
        <v>578</v>
      </c>
      <c r="C284">
        <v>473</v>
      </c>
      <c r="D284">
        <v>11</v>
      </c>
      <c r="E284" t="s">
        <v>23</v>
      </c>
      <c r="F284">
        <v>21</v>
      </c>
      <c r="G284">
        <v>1192</v>
      </c>
      <c r="H284">
        <v>40</v>
      </c>
      <c r="I284">
        <v>1200</v>
      </c>
      <c r="J284">
        <v>0.67</v>
      </c>
      <c r="K284">
        <v>0.16200000000000001</v>
      </c>
      <c r="L284">
        <v>3.5</v>
      </c>
      <c r="M284" t="s">
        <v>579</v>
      </c>
      <c r="N284">
        <v>1</v>
      </c>
    </row>
    <row r="285" spans="1:14" x14ac:dyDescent="0.35">
      <c r="A285">
        <v>522</v>
      </c>
      <c r="B285" t="s">
        <v>580</v>
      </c>
      <c r="C285">
        <v>472</v>
      </c>
      <c r="D285">
        <v>1</v>
      </c>
      <c r="E285" t="s">
        <v>41</v>
      </c>
      <c r="F285">
        <v>2.9</v>
      </c>
      <c r="G285">
        <v>1189</v>
      </c>
      <c r="H285">
        <v>40</v>
      </c>
      <c r="I285">
        <v>1200</v>
      </c>
      <c r="J285">
        <v>0.92</v>
      </c>
      <c r="K285">
        <v>0.16200000000000001</v>
      </c>
      <c r="L285">
        <v>3.5</v>
      </c>
      <c r="M285" t="s">
        <v>581</v>
      </c>
      <c r="N285">
        <v>1</v>
      </c>
    </row>
    <row r="286" spans="1:14" x14ac:dyDescent="0.35">
      <c r="A286">
        <v>521</v>
      </c>
      <c r="B286" t="s">
        <v>582</v>
      </c>
      <c r="C286">
        <v>471</v>
      </c>
      <c r="D286">
        <v>6</v>
      </c>
      <c r="E286" t="s">
        <v>14</v>
      </c>
      <c r="F286">
        <v>1.3</v>
      </c>
      <c r="G286">
        <v>1189</v>
      </c>
      <c r="H286">
        <v>40</v>
      </c>
      <c r="I286">
        <v>1200</v>
      </c>
      <c r="J286">
        <v>0.92</v>
      </c>
      <c r="K286">
        <v>0.16200000000000001</v>
      </c>
      <c r="L286">
        <v>3.5</v>
      </c>
      <c r="M286" t="s">
        <v>583</v>
      </c>
      <c r="N286">
        <v>1</v>
      </c>
    </row>
    <row r="287" spans="1:14" x14ac:dyDescent="0.35">
      <c r="A287">
        <v>520</v>
      </c>
      <c r="B287" t="s">
        <v>584</v>
      </c>
      <c r="C287">
        <v>470</v>
      </c>
      <c r="D287">
        <v>11</v>
      </c>
      <c r="E287" t="s">
        <v>23</v>
      </c>
      <c r="F287">
        <v>18.7</v>
      </c>
      <c r="G287">
        <v>1191</v>
      </c>
      <c r="H287">
        <v>40</v>
      </c>
      <c r="I287">
        <v>1200</v>
      </c>
      <c r="J287">
        <v>0.75</v>
      </c>
      <c r="K287">
        <v>0.16200000000000001</v>
      </c>
      <c r="L287">
        <v>3.4</v>
      </c>
      <c r="M287" t="s">
        <v>585</v>
      </c>
      <c r="N287">
        <v>1</v>
      </c>
    </row>
    <row r="288" spans="1:14" x14ac:dyDescent="0.35">
      <c r="A288">
        <v>519</v>
      </c>
      <c r="B288" t="s">
        <v>586</v>
      </c>
      <c r="C288">
        <v>469</v>
      </c>
      <c r="D288">
        <v>4</v>
      </c>
      <c r="E288" t="s">
        <v>28</v>
      </c>
      <c r="F288">
        <v>2.2999999999999998</v>
      </c>
      <c r="G288">
        <v>1187</v>
      </c>
      <c r="H288">
        <v>40</v>
      </c>
      <c r="I288">
        <v>1200</v>
      </c>
      <c r="J288">
        <v>1.08</v>
      </c>
      <c r="K288">
        <v>0.161</v>
      </c>
      <c r="L288">
        <v>3.5</v>
      </c>
      <c r="M288" t="s">
        <v>587</v>
      </c>
      <c r="N288">
        <v>1</v>
      </c>
    </row>
    <row r="289" spans="1:14" x14ac:dyDescent="0.35">
      <c r="A289">
        <v>518</v>
      </c>
      <c r="B289" t="s">
        <v>588</v>
      </c>
      <c r="C289">
        <v>468</v>
      </c>
      <c r="D289">
        <v>7</v>
      </c>
      <c r="E289" t="s">
        <v>17</v>
      </c>
      <c r="F289">
        <v>2.8</v>
      </c>
      <c r="G289">
        <v>1190</v>
      </c>
      <c r="H289">
        <v>40</v>
      </c>
      <c r="I289">
        <v>1200</v>
      </c>
      <c r="J289">
        <v>0.83</v>
      </c>
      <c r="K289">
        <v>0.16200000000000001</v>
      </c>
      <c r="L289">
        <v>3.5</v>
      </c>
      <c r="M289" t="s">
        <v>589</v>
      </c>
      <c r="N289">
        <v>1</v>
      </c>
    </row>
    <row r="290" spans="1:14" x14ac:dyDescent="0.35">
      <c r="A290">
        <v>517</v>
      </c>
      <c r="B290" t="s">
        <v>590</v>
      </c>
      <c r="C290">
        <v>467</v>
      </c>
      <c r="D290">
        <v>11</v>
      </c>
      <c r="E290" t="s">
        <v>23</v>
      </c>
      <c r="F290">
        <v>44.4</v>
      </c>
      <c r="G290">
        <v>1190</v>
      </c>
      <c r="H290">
        <v>40</v>
      </c>
      <c r="I290">
        <v>1200</v>
      </c>
      <c r="J290">
        <v>0.83</v>
      </c>
      <c r="K290">
        <v>0.16200000000000001</v>
      </c>
      <c r="L290">
        <v>3.5</v>
      </c>
      <c r="M290" t="s">
        <v>591</v>
      </c>
      <c r="N290">
        <v>1</v>
      </c>
    </row>
    <row r="291" spans="1:14" x14ac:dyDescent="0.35">
      <c r="A291">
        <v>516</v>
      </c>
      <c r="B291" t="s">
        <v>592</v>
      </c>
      <c r="C291">
        <v>466</v>
      </c>
      <c r="D291">
        <v>8</v>
      </c>
      <c r="E291" t="s">
        <v>38</v>
      </c>
      <c r="F291">
        <v>2.1</v>
      </c>
      <c r="G291">
        <v>1191</v>
      </c>
      <c r="H291">
        <v>40</v>
      </c>
      <c r="I291">
        <v>1200</v>
      </c>
      <c r="J291">
        <v>0.75</v>
      </c>
      <c r="K291">
        <v>0.16200000000000001</v>
      </c>
      <c r="L291">
        <v>3.5</v>
      </c>
      <c r="M291" t="s">
        <v>593</v>
      </c>
      <c r="N291">
        <v>1</v>
      </c>
    </row>
    <row r="292" spans="1:14" x14ac:dyDescent="0.35">
      <c r="A292">
        <v>515</v>
      </c>
      <c r="B292" t="s">
        <v>594</v>
      </c>
      <c r="C292">
        <v>465</v>
      </c>
      <c r="D292">
        <v>11</v>
      </c>
      <c r="E292" t="s">
        <v>23</v>
      </c>
      <c r="F292">
        <v>19.5</v>
      </c>
      <c r="G292">
        <v>1191</v>
      </c>
      <c r="H292">
        <v>40</v>
      </c>
      <c r="I292">
        <v>1200</v>
      </c>
      <c r="J292">
        <v>0.75</v>
      </c>
      <c r="K292">
        <v>0.16200000000000001</v>
      </c>
      <c r="L292">
        <v>3.5</v>
      </c>
      <c r="M292" t="s">
        <v>595</v>
      </c>
      <c r="N292">
        <v>1</v>
      </c>
    </row>
    <row r="293" spans="1:14" x14ac:dyDescent="0.35">
      <c r="A293">
        <v>514</v>
      </c>
      <c r="B293" t="s">
        <v>596</v>
      </c>
      <c r="C293">
        <v>464</v>
      </c>
      <c r="D293">
        <v>11</v>
      </c>
      <c r="E293" t="s">
        <v>23</v>
      </c>
      <c r="F293">
        <v>14.7</v>
      </c>
      <c r="G293">
        <v>1192</v>
      </c>
      <c r="H293">
        <v>40</v>
      </c>
      <c r="I293">
        <v>1200</v>
      </c>
      <c r="J293">
        <v>0.67</v>
      </c>
      <c r="K293">
        <v>0.16200000000000001</v>
      </c>
      <c r="L293">
        <v>3.5</v>
      </c>
      <c r="M293" t="s">
        <v>597</v>
      </c>
      <c r="N293">
        <v>1</v>
      </c>
    </row>
    <row r="294" spans="1:14" x14ac:dyDescent="0.35">
      <c r="A294">
        <v>513</v>
      </c>
      <c r="B294" t="s">
        <v>598</v>
      </c>
      <c r="C294">
        <v>463</v>
      </c>
      <c r="D294">
        <v>2</v>
      </c>
      <c r="E294" t="s">
        <v>74</v>
      </c>
      <c r="F294">
        <v>1.3</v>
      </c>
      <c r="G294">
        <v>1190</v>
      </c>
      <c r="H294">
        <v>40</v>
      </c>
      <c r="I294">
        <v>1200</v>
      </c>
      <c r="J294">
        <v>0.83</v>
      </c>
      <c r="K294">
        <v>0.16200000000000001</v>
      </c>
      <c r="L294">
        <v>3.5</v>
      </c>
      <c r="M294" t="s">
        <v>599</v>
      </c>
      <c r="N294">
        <v>1</v>
      </c>
    </row>
    <row r="295" spans="1:14" x14ac:dyDescent="0.35">
      <c r="A295">
        <v>512</v>
      </c>
      <c r="B295" t="s">
        <v>600</v>
      </c>
      <c r="C295">
        <v>462</v>
      </c>
      <c r="D295">
        <v>1</v>
      </c>
      <c r="E295" t="s">
        <v>41</v>
      </c>
      <c r="F295">
        <v>2.9</v>
      </c>
      <c r="G295">
        <v>1191</v>
      </c>
      <c r="H295">
        <v>40</v>
      </c>
      <c r="I295">
        <v>1200</v>
      </c>
      <c r="J295">
        <v>0.75</v>
      </c>
      <c r="K295">
        <v>0.16200000000000001</v>
      </c>
      <c r="L295">
        <v>3.5</v>
      </c>
      <c r="M295" t="s">
        <v>601</v>
      </c>
      <c r="N295">
        <v>1</v>
      </c>
    </row>
    <row r="296" spans="1:14" x14ac:dyDescent="0.35">
      <c r="A296">
        <v>511</v>
      </c>
      <c r="B296" t="s">
        <v>602</v>
      </c>
      <c r="C296">
        <v>461</v>
      </c>
      <c r="D296">
        <v>6</v>
      </c>
      <c r="E296" t="s">
        <v>14</v>
      </c>
      <c r="F296">
        <v>1.2</v>
      </c>
      <c r="G296">
        <v>1189</v>
      </c>
      <c r="H296">
        <v>40</v>
      </c>
      <c r="I296">
        <v>1200</v>
      </c>
      <c r="J296">
        <v>0.92</v>
      </c>
      <c r="K296">
        <v>0.16200000000000001</v>
      </c>
      <c r="L296">
        <v>3.5</v>
      </c>
      <c r="M296" t="s">
        <v>603</v>
      </c>
      <c r="N296">
        <v>1</v>
      </c>
    </row>
    <row r="297" spans="1:14" x14ac:dyDescent="0.35">
      <c r="A297">
        <v>510</v>
      </c>
      <c r="B297" t="s">
        <v>604</v>
      </c>
      <c r="C297">
        <v>460</v>
      </c>
      <c r="D297">
        <v>11</v>
      </c>
      <c r="E297" t="s">
        <v>23</v>
      </c>
      <c r="F297">
        <v>18.600000000000001</v>
      </c>
      <c r="G297">
        <v>1189</v>
      </c>
      <c r="H297">
        <v>40</v>
      </c>
      <c r="I297">
        <v>1200</v>
      </c>
      <c r="J297">
        <v>0.92</v>
      </c>
      <c r="K297">
        <v>0.16200000000000001</v>
      </c>
      <c r="L297">
        <v>3.5</v>
      </c>
      <c r="M297" t="s">
        <v>605</v>
      </c>
      <c r="N297">
        <v>1</v>
      </c>
    </row>
    <row r="298" spans="1:14" x14ac:dyDescent="0.35">
      <c r="A298">
        <v>509</v>
      </c>
      <c r="B298" t="s">
        <v>606</v>
      </c>
      <c r="C298">
        <v>459</v>
      </c>
      <c r="D298">
        <v>11</v>
      </c>
      <c r="E298" t="s">
        <v>23</v>
      </c>
      <c r="F298">
        <v>18.600000000000001</v>
      </c>
      <c r="G298">
        <v>1191</v>
      </c>
      <c r="H298">
        <v>40</v>
      </c>
      <c r="I298">
        <v>1200</v>
      </c>
      <c r="J298">
        <v>0.75</v>
      </c>
      <c r="K298">
        <v>0.16200000000000001</v>
      </c>
      <c r="L298">
        <v>3.5</v>
      </c>
      <c r="M298" t="s">
        <v>607</v>
      </c>
      <c r="N298">
        <v>1</v>
      </c>
    </row>
    <row r="299" spans="1:14" x14ac:dyDescent="0.35">
      <c r="A299">
        <v>508</v>
      </c>
      <c r="B299" t="s">
        <v>608</v>
      </c>
      <c r="C299">
        <v>458</v>
      </c>
      <c r="D299">
        <v>9</v>
      </c>
      <c r="E299" t="s">
        <v>44</v>
      </c>
      <c r="F299">
        <v>1.3</v>
      </c>
      <c r="G299">
        <v>1189</v>
      </c>
      <c r="H299">
        <v>40</v>
      </c>
      <c r="I299">
        <v>1200</v>
      </c>
      <c r="J299">
        <v>0.92</v>
      </c>
      <c r="K299">
        <v>0.16200000000000001</v>
      </c>
      <c r="L299">
        <v>3.5</v>
      </c>
      <c r="M299" t="s">
        <v>609</v>
      </c>
      <c r="N299">
        <v>1</v>
      </c>
    </row>
    <row r="300" spans="1:14" x14ac:dyDescent="0.35">
      <c r="A300">
        <v>507</v>
      </c>
      <c r="B300" t="s">
        <v>610</v>
      </c>
      <c r="C300">
        <v>457</v>
      </c>
      <c r="D300">
        <v>7</v>
      </c>
      <c r="E300" t="s">
        <v>17</v>
      </c>
      <c r="F300">
        <v>2.8</v>
      </c>
      <c r="G300">
        <v>1189</v>
      </c>
      <c r="H300">
        <v>40</v>
      </c>
      <c r="I300">
        <v>1200</v>
      </c>
      <c r="J300">
        <v>0.92</v>
      </c>
      <c r="K300">
        <v>0.16200000000000001</v>
      </c>
      <c r="L300">
        <v>3.4</v>
      </c>
      <c r="M300" t="s">
        <v>611</v>
      </c>
      <c r="N300">
        <v>1</v>
      </c>
    </row>
    <row r="301" spans="1:14" x14ac:dyDescent="0.35">
      <c r="A301">
        <v>506</v>
      </c>
      <c r="B301" t="s">
        <v>612</v>
      </c>
      <c r="C301">
        <v>456</v>
      </c>
      <c r="D301">
        <v>4</v>
      </c>
      <c r="E301" t="s">
        <v>28</v>
      </c>
      <c r="F301">
        <v>2.2000000000000002</v>
      </c>
      <c r="G301">
        <v>1191</v>
      </c>
      <c r="H301">
        <v>40</v>
      </c>
      <c r="I301">
        <v>1200</v>
      </c>
      <c r="J301">
        <v>0.75</v>
      </c>
      <c r="K301">
        <v>0.16200000000000001</v>
      </c>
      <c r="L301">
        <v>3.5</v>
      </c>
      <c r="M301" t="s">
        <v>613</v>
      </c>
      <c r="N301">
        <v>1</v>
      </c>
    </row>
    <row r="302" spans="1:14" x14ac:dyDescent="0.35">
      <c r="A302">
        <v>505</v>
      </c>
      <c r="B302" t="s">
        <v>614</v>
      </c>
      <c r="C302" s="3">
        <v>455</v>
      </c>
      <c r="D302">
        <v>12</v>
      </c>
      <c r="E302" t="s">
        <v>59</v>
      </c>
      <c r="F302">
        <v>0</v>
      </c>
      <c r="G302">
        <v>1189</v>
      </c>
      <c r="H302">
        <v>40</v>
      </c>
      <c r="I302">
        <v>1200</v>
      </c>
      <c r="J302">
        <v>0.92</v>
      </c>
      <c r="K302">
        <v>0.16200000000000001</v>
      </c>
      <c r="L302">
        <v>3.5</v>
      </c>
      <c r="M302" t="s">
        <v>615</v>
      </c>
      <c r="N302">
        <v>0</v>
      </c>
    </row>
    <row r="303" spans="1:14" x14ac:dyDescent="0.35">
      <c r="A303">
        <v>504</v>
      </c>
      <c r="B303" t="s">
        <v>616</v>
      </c>
      <c r="C303">
        <v>454</v>
      </c>
      <c r="D303">
        <v>11</v>
      </c>
      <c r="E303" t="s">
        <v>23</v>
      </c>
      <c r="F303">
        <v>13.3</v>
      </c>
      <c r="G303">
        <v>1192</v>
      </c>
      <c r="H303">
        <v>40</v>
      </c>
      <c r="I303">
        <v>1200</v>
      </c>
      <c r="J303">
        <v>0.67</v>
      </c>
      <c r="K303">
        <v>0.16200000000000001</v>
      </c>
      <c r="L303">
        <v>3.5</v>
      </c>
      <c r="M303" t="s">
        <v>617</v>
      </c>
      <c r="N303">
        <v>1</v>
      </c>
    </row>
    <row r="304" spans="1:14" x14ac:dyDescent="0.35">
      <c r="A304">
        <v>503</v>
      </c>
      <c r="B304" t="s">
        <v>618</v>
      </c>
      <c r="C304">
        <v>453</v>
      </c>
      <c r="D304">
        <v>9</v>
      </c>
      <c r="E304" t="s">
        <v>44</v>
      </c>
      <c r="F304">
        <v>1.5</v>
      </c>
      <c r="G304">
        <v>1191</v>
      </c>
      <c r="H304">
        <v>40</v>
      </c>
      <c r="I304">
        <v>1200</v>
      </c>
      <c r="J304">
        <v>0.75</v>
      </c>
      <c r="K304">
        <v>0.16200000000000001</v>
      </c>
      <c r="L304">
        <v>3.5</v>
      </c>
      <c r="M304" t="s">
        <v>619</v>
      </c>
      <c r="N304">
        <v>1</v>
      </c>
    </row>
    <row r="305" spans="1:14" x14ac:dyDescent="0.35">
      <c r="A305">
        <v>502</v>
      </c>
      <c r="B305" t="s">
        <v>620</v>
      </c>
      <c r="C305">
        <v>452</v>
      </c>
      <c r="D305">
        <v>3</v>
      </c>
      <c r="E305" t="s">
        <v>20</v>
      </c>
      <c r="F305">
        <v>1.1000000000000001</v>
      </c>
      <c r="G305">
        <v>1191</v>
      </c>
      <c r="H305">
        <v>40</v>
      </c>
      <c r="I305">
        <v>1200</v>
      </c>
      <c r="J305">
        <v>0.75</v>
      </c>
      <c r="K305">
        <v>0.16200000000000001</v>
      </c>
      <c r="L305">
        <v>3.5</v>
      </c>
      <c r="M305" t="s">
        <v>621</v>
      </c>
      <c r="N305">
        <v>1</v>
      </c>
    </row>
    <row r="306" spans="1:14" x14ac:dyDescent="0.35">
      <c r="A306">
        <v>501</v>
      </c>
      <c r="B306" t="s">
        <v>622</v>
      </c>
      <c r="C306" s="3">
        <v>451</v>
      </c>
      <c r="D306">
        <v>12</v>
      </c>
      <c r="E306" t="s">
        <v>59</v>
      </c>
      <c r="F306">
        <v>0</v>
      </c>
      <c r="G306">
        <v>1187</v>
      </c>
      <c r="H306">
        <v>40</v>
      </c>
      <c r="I306">
        <v>1200</v>
      </c>
      <c r="J306">
        <v>1.08</v>
      </c>
      <c r="K306">
        <v>0.161</v>
      </c>
      <c r="L306">
        <v>3.5</v>
      </c>
      <c r="M306" t="s">
        <v>623</v>
      </c>
      <c r="N306">
        <v>0</v>
      </c>
    </row>
    <row r="307" spans="1:14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x14ac:dyDescent="0.35">
      <c r="A308">
        <v>500</v>
      </c>
      <c r="B308" t="s">
        <v>624</v>
      </c>
      <c r="C308">
        <v>450</v>
      </c>
      <c r="D308">
        <v>6</v>
      </c>
      <c r="E308" t="s">
        <v>14</v>
      </c>
      <c r="F308">
        <v>1.3</v>
      </c>
      <c r="G308">
        <v>1039</v>
      </c>
      <c r="H308">
        <v>35</v>
      </c>
      <c r="I308">
        <v>1050</v>
      </c>
      <c r="J308">
        <v>1.05</v>
      </c>
      <c r="K308">
        <v>0.14099999999999999</v>
      </c>
      <c r="L308">
        <v>4</v>
      </c>
      <c r="M308" t="s">
        <v>625</v>
      </c>
      <c r="N308">
        <v>1</v>
      </c>
    </row>
    <row r="309" spans="1:14" x14ac:dyDescent="0.35">
      <c r="A309">
        <v>499</v>
      </c>
      <c r="B309" t="s">
        <v>626</v>
      </c>
      <c r="C309">
        <v>449</v>
      </c>
      <c r="D309">
        <v>1</v>
      </c>
      <c r="E309" t="s">
        <v>41</v>
      </c>
      <c r="F309">
        <v>2.8</v>
      </c>
      <c r="G309">
        <v>1040</v>
      </c>
      <c r="H309">
        <v>35</v>
      </c>
      <c r="I309">
        <v>1050</v>
      </c>
      <c r="J309">
        <v>0.95</v>
      </c>
      <c r="K309">
        <v>0.14099999999999999</v>
      </c>
      <c r="L309">
        <v>4</v>
      </c>
      <c r="M309" t="s">
        <v>627</v>
      </c>
      <c r="N309">
        <v>1</v>
      </c>
    </row>
    <row r="310" spans="1:14" x14ac:dyDescent="0.35">
      <c r="A310">
        <v>498</v>
      </c>
      <c r="B310" t="s">
        <v>628</v>
      </c>
      <c r="C310">
        <v>448</v>
      </c>
      <c r="D310">
        <v>11</v>
      </c>
      <c r="E310" t="s">
        <v>23</v>
      </c>
      <c r="F310">
        <v>14.2</v>
      </c>
      <c r="G310">
        <v>1042</v>
      </c>
      <c r="H310">
        <v>35</v>
      </c>
      <c r="I310">
        <v>1050</v>
      </c>
      <c r="J310">
        <v>0.76</v>
      </c>
      <c r="K310">
        <v>0.14199999999999999</v>
      </c>
      <c r="L310">
        <v>4</v>
      </c>
      <c r="M310" t="s">
        <v>629</v>
      </c>
      <c r="N310">
        <v>1</v>
      </c>
    </row>
    <row r="311" spans="1:14" x14ac:dyDescent="0.35">
      <c r="A311">
        <v>497</v>
      </c>
      <c r="B311" t="s">
        <v>630</v>
      </c>
      <c r="C311">
        <v>447</v>
      </c>
      <c r="D311">
        <v>9</v>
      </c>
      <c r="E311" t="s">
        <v>44</v>
      </c>
      <c r="F311">
        <v>1</v>
      </c>
      <c r="G311">
        <v>1042</v>
      </c>
      <c r="H311">
        <v>35</v>
      </c>
      <c r="I311">
        <v>1050</v>
      </c>
      <c r="J311">
        <v>0.76</v>
      </c>
      <c r="K311">
        <v>0.14199999999999999</v>
      </c>
      <c r="L311">
        <v>4</v>
      </c>
      <c r="M311" t="s">
        <v>631</v>
      </c>
      <c r="N311">
        <v>1</v>
      </c>
    </row>
    <row r="312" spans="1:14" x14ac:dyDescent="0.35">
      <c r="A312">
        <v>496</v>
      </c>
      <c r="B312" t="s">
        <v>632</v>
      </c>
      <c r="C312">
        <v>446</v>
      </c>
      <c r="D312">
        <v>2</v>
      </c>
      <c r="E312" t="s">
        <v>74</v>
      </c>
      <c r="F312">
        <v>1.3</v>
      </c>
      <c r="G312">
        <v>1041</v>
      </c>
      <c r="H312">
        <v>35</v>
      </c>
      <c r="I312">
        <v>1050</v>
      </c>
      <c r="J312">
        <v>0.86</v>
      </c>
      <c r="K312">
        <v>0.14199999999999999</v>
      </c>
      <c r="L312">
        <v>4</v>
      </c>
      <c r="M312" t="s">
        <v>633</v>
      </c>
      <c r="N312">
        <v>1</v>
      </c>
    </row>
    <row r="313" spans="1:14" x14ac:dyDescent="0.35">
      <c r="A313">
        <v>495</v>
      </c>
      <c r="B313" t="s">
        <v>634</v>
      </c>
      <c r="C313">
        <v>445</v>
      </c>
      <c r="D313">
        <v>8</v>
      </c>
      <c r="E313" t="s">
        <v>38</v>
      </c>
      <c r="F313">
        <v>2</v>
      </c>
      <c r="G313">
        <v>1039</v>
      </c>
      <c r="H313">
        <v>35</v>
      </c>
      <c r="I313">
        <v>1050</v>
      </c>
      <c r="J313">
        <v>1.05</v>
      </c>
      <c r="K313">
        <v>0.14099999999999999</v>
      </c>
      <c r="L313">
        <v>4</v>
      </c>
      <c r="M313" t="s">
        <v>635</v>
      </c>
      <c r="N313">
        <v>1</v>
      </c>
    </row>
    <row r="314" spans="1:14" x14ac:dyDescent="0.35">
      <c r="A314">
        <v>494</v>
      </c>
      <c r="B314" t="s">
        <v>636</v>
      </c>
      <c r="C314">
        <v>444</v>
      </c>
      <c r="D314">
        <v>6</v>
      </c>
      <c r="E314" t="s">
        <v>14</v>
      </c>
      <c r="F314">
        <v>1.4</v>
      </c>
      <c r="G314">
        <v>1039</v>
      </c>
      <c r="H314">
        <v>35</v>
      </c>
      <c r="I314">
        <v>1050</v>
      </c>
      <c r="J314">
        <v>1.05</v>
      </c>
      <c r="K314">
        <v>0.14199999999999999</v>
      </c>
      <c r="L314">
        <v>4</v>
      </c>
      <c r="M314" t="s">
        <v>637</v>
      </c>
      <c r="N314">
        <v>1</v>
      </c>
    </row>
    <row r="315" spans="1:14" x14ac:dyDescent="0.35">
      <c r="A315">
        <v>493</v>
      </c>
      <c r="B315" t="s">
        <v>638</v>
      </c>
      <c r="C315">
        <v>443</v>
      </c>
      <c r="D315">
        <v>11</v>
      </c>
      <c r="E315" t="s">
        <v>23</v>
      </c>
      <c r="F315">
        <v>14.2</v>
      </c>
      <c r="G315">
        <v>1039</v>
      </c>
      <c r="H315">
        <v>35</v>
      </c>
      <c r="I315">
        <v>1050</v>
      </c>
      <c r="J315">
        <v>1.05</v>
      </c>
      <c r="K315">
        <v>0.14099999999999999</v>
      </c>
      <c r="L315">
        <v>4</v>
      </c>
      <c r="M315" t="s">
        <v>639</v>
      </c>
      <c r="N315">
        <v>1</v>
      </c>
    </row>
    <row r="316" spans="1:14" x14ac:dyDescent="0.35">
      <c r="A316">
        <v>492</v>
      </c>
      <c r="B316" t="s">
        <v>640</v>
      </c>
      <c r="C316">
        <v>442</v>
      </c>
      <c r="D316">
        <v>11</v>
      </c>
      <c r="E316" t="s">
        <v>23</v>
      </c>
      <c r="F316">
        <v>12.8</v>
      </c>
      <c r="G316">
        <v>1042</v>
      </c>
      <c r="H316">
        <v>35</v>
      </c>
      <c r="I316">
        <v>1050</v>
      </c>
      <c r="J316">
        <v>0.76</v>
      </c>
      <c r="K316">
        <v>0.14199999999999999</v>
      </c>
      <c r="L316">
        <v>3.9</v>
      </c>
      <c r="M316" t="s">
        <v>641</v>
      </c>
      <c r="N316">
        <v>1</v>
      </c>
    </row>
    <row r="317" spans="1:14" x14ac:dyDescent="0.35">
      <c r="A317">
        <v>491</v>
      </c>
      <c r="B317" t="s">
        <v>642</v>
      </c>
      <c r="C317">
        <v>441</v>
      </c>
      <c r="D317">
        <v>11</v>
      </c>
      <c r="E317" t="s">
        <v>23</v>
      </c>
      <c r="F317">
        <v>17.3</v>
      </c>
      <c r="G317">
        <v>1038</v>
      </c>
      <c r="H317">
        <v>35</v>
      </c>
      <c r="I317">
        <v>1050</v>
      </c>
      <c r="J317">
        <v>1.1399999999999999</v>
      </c>
      <c r="K317">
        <v>0.14099999999999999</v>
      </c>
      <c r="L317">
        <v>3.9</v>
      </c>
      <c r="M317" t="s">
        <v>643</v>
      </c>
      <c r="N317">
        <v>1</v>
      </c>
    </row>
    <row r="318" spans="1:14" x14ac:dyDescent="0.35">
      <c r="A318">
        <v>490</v>
      </c>
      <c r="B318" t="s">
        <v>644</v>
      </c>
      <c r="C318">
        <v>440</v>
      </c>
      <c r="D318">
        <v>11</v>
      </c>
      <c r="E318" t="s">
        <v>23</v>
      </c>
      <c r="F318">
        <v>14.6</v>
      </c>
      <c r="G318">
        <v>1040</v>
      </c>
      <c r="H318">
        <v>35</v>
      </c>
      <c r="I318">
        <v>1050</v>
      </c>
      <c r="J318">
        <v>0.95</v>
      </c>
      <c r="K318">
        <v>0.14099999999999999</v>
      </c>
      <c r="L318">
        <v>4</v>
      </c>
      <c r="M318" t="s">
        <v>645</v>
      </c>
      <c r="N318">
        <v>1</v>
      </c>
    </row>
    <row r="319" spans="1:14" x14ac:dyDescent="0.35">
      <c r="A319">
        <v>489</v>
      </c>
      <c r="B319" t="s">
        <v>646</v>
      </c>
      <c r="C319">
        <v>439</v>
      </c>
      <c r="D319">
        <v>2</v>
      </c>
      <c r="E319" t="s">
        <v>74</v>
      </c>
      <c r="F319">
        <v>1.2</v>
      </c>
      <c r="G319">
        <v>1041</v>
      </c>
      <c r="H319">
        <v>35</v>
      </c>
      <c r="I319">
        <v>1050</v>
      </c>
      <c r="J319">
        <v>0.86</v>
      </c>
      <c r="K319">
        <v>0.14199999999999999</v>
      </c>
      <c r="L319">
        <v>4</v>
      </c>
      <c r="M319" t="s">
        <v>647</v>
      </c>
      <c r="N319">
        <v>1</v>
      </c>
    </row>
    <row r="320" spans="1:14" x14ac:dyDescent="0.35">
      <c r="A320">
        <v>488</v>
      </c>
      <c r="B320" t="s">
        <v>648</v>
      </c>
      <c r="C320">
        <v>438</v>
      </c>
      <c r="D320">
        <v>11</v>
      </c>
      <c r="E320" t="s">
        <v>23</v>
      </c>
      <c r="F320">
        <v>13.9</v>
      </c>
      <c r="G320">
        <v>1041</v>
      </c>
      <c r="H320">
        <v>35</v>
      </c>
      <c r="I320">
        <v>1050</v>
      </c>
      <c r="J320">
        <v>0.86</v>
      </c>
      <c r="K320">
        <v>0.14199999999999999</v>
      </c>
      <c r="L320">
        <v>4</v>
      </c>
      <c r="M320" t="s">
        <v>649</v>
      </c>
      <c r="N320">
        <v>1</v>
      </c>
    </row>
    <row r="321" spans="1:14" x14ac:dyDescent="0.35">
      <c r="A321">
        <v>487</v>
      </c>
      <c r="B321" t="s">
        <v>650</v>
      </c>
      <c r="C321">
        <v>437</v>
      </c>
      <c r="D321">
        <v>6</v>
      </c>
      <c r="E321" t="s">
        <v>14</v>
      </c>
      <c r="F321">
        <v>1.3</v>
      </c>
      <c r="G321">
        <v>1040</v>
      </c>
      <c r="H321">
        <v>35</v>
      </c>
      <c r="I321">
        <v>1050</v>
      </c>
      <c r="J321">
        <v>0.95</v>
      </c>
      <c r="K321">
        <v>0.14099999999999999</v>
      </c>
      <c r="L321">
        <v>4</v>
      </c>
      <c r="M321" t="s">
        <v>651</v>
      </c>
      <c r="N321">
        <v>1</v>
      </c>
    </row>
    <row r="322" spans="1:14" x14ac:dyDescent="0.35">
      <c r="A322">
        <v>486</v>
      </c>
      <c r="B322" t="s">
        <v>652</v>
      </c>
      <c r="C322">
        <v>436</v>
      </c>
      <c r="D322">
        <v>7</v>
      </c>
      <c r="E322" t="s">
        <v>17</v>
      </c>
      <c r="F322">
        <v>2.8</v>
      </c>
      <c r="G322">
        <v>1038</v>
      </c>
      <c r="H322">
        <v>35</v>
      </c>
      <c r="I322">
        <v>1050</v>
      </c>
      <c r="J322">
        <v>1.1399999999999999</v>
      </c>
      <c r="K322">
        <v>0.14099999999999999</v>
      </c>
      <c r="L322">
        <v>4</v>
      </c>
      <c r="M322" t="s">
        <v>653</v>
      </c>
      <c r="N322">
        <v>1</v>
      </c>
    </row>
    <row r="323" spans="1:14" x14ac:dyDescent="0.35">
      <c r="A323">
        <v>485</v>
      </c>
      <c r="B323" t="s">
        <v>654</v>
      </c>
      <c r="C323">
        <v>435</v>
      </c>
      <c r="D323">
        <v>11</v>
      </c>
      <c r="E323" t="s">
        <v>23</v>
      </c>
      <c r="F323">
        <v>15.7</v>
      </c>
      <c r="G323">
        <v>1041</v>
      </c>
      <c r="H323">
        <v>35</v>
      </c>
      <c r="I323">
        <v>1050</v>
      </c>
      <c r="J323">
        <v>0.86</v>
      </c>
      <c r="K323">
        <v>0.14199999999999999</v>
      </c>
      <c r="L323">
        <v>3.9</v>
      </c>
      <c r="M323" t="s">
        <v>655</v>
      </c>
      <c r="N323">
        <v>1</v>
      </c>
    </row>
    <row r="324" spans="1:14" x14ac:dyDescent="0.35">
      <c r="A324">
        <v>484</v>
      </c>
      <c r="B324" t="s">
        <v>656</v>
      </c>
      <c r="C324">
        <v>434</v>
      </c>
      <c r="D324">
        <v>9</v>
      </c>
      <c r="E324" t="s">
        <v>44</v>
      </c>
      <c r="F324">
        <v>1.3</v>
      </c>
      <c r="G324">
        <v>1038</v>
      </c>
      <c r="H324">
        <v>35</v>
      </c>
      <c r="I324">
        <v>1050</v>
      </c>
      <c r="J324">
        <v>1.1399999999999999</v>
      </c>
      <c r="K324">
        <v>0.14099999999999999</v>
      </c>
      <c r="L324">
        <v>4</v>
      </c>
      <c r="M324" t="s">
        <v>657</v>
      </c>
      <c r="N324">
        <v>1</v>
      </c>
    </row>
    <row r="325" spans="1:14" x14ac:dyDescent="0.35">
      <c r="A325">
        <v>483</v>
      </c>
      <c r="B325" t="s">
        <v>658</v>
      </c>
      <c r="C325">
        <v>433</v>
      </c>
      <c r="D325">
        <v>2</v>
      </c>
      <c r="E325" t="s">
        <v>74</v>
      </c>
      <c r="F325">
        <v>1.2</v>
      </c>
      <c r="G325">
        <v>1042</v>
      </c>
      <c r="H325">
        <v>35</v>
      </c>
      <c r="I325">
        <v>1050</v>
      </c>
      <c r="J325">
        <v>0.76</v>
      </c>
      <c r="K325">
        <v>0.14199999999999999</v>
      </c>
      <c r="L325">
        <v>4</v>
      </c>
      <c r="M325" t="s">
        <v>659</v>
      </c>
      <c r="N325">
        <v>1</v>
      </c>
    </row>
    <row r="326" spans="1:14" x14ac:dyDescent="0.35">
      <c r="A326">
        <v>482</v>
      </c>
      <c r="B326" t="s">
        <v>660</v>
      </c>
      <c r="C326">
        <v>432</v>
      </c>
      <c r="D326">
        <v>11</v>
      </c>
      <c r="E326" t="s">
        <v>23</v>
      </c>
      <c r="F326">
        <v>14.1</v>
      </c>
      <c r="G326">
        <v>1038</v>
      </c>
      <c r="H326">
        <v>35</v>
      </c>
      <c r="I326">
        <v>1050</v>
      </c>
      <c r="J326">
        <v>1.1399999999999999</v>
      </c>
      <c r="K326">
        <v>0.14099999999999999</v>
      </c>
      <c r="L326">
        <v>4</v>
      </c>
      <c r="M326" t="s">
        <v>661</v>
      </c>
      <c r="N326">
        <v>1</v>
      </c>
    </row>
    <row r="327" spans="1:14" x14ac:dyDescent="0.35">
      <c r="A327">
        <v>481</v>
      </c>
      <c r="B327" t="s">
        <v>662</v>
      </c>
      <c r="C327">
        <v>431</v>
      </c>
      <c r="D327">
        <v>6</v>
      </c>
      <c r="E327" t="s">
        <v>14</v>
      </c>
      <c r="F327">
        <v>1.2</v>
      </c>
      <c r="G327">
        <v>1042</v>
      </c>
      <c r="H327">
        <v>35</v>
      </c>
      <c r="I327">
        <v>1050</v>
      </c>
      <c r="J327">
        <v>0.76</v>
      </c>
      <c r="K327">
        <v>0.14199999999999999</v>
      </c>
      <c r="L327">
        <v>4</v>
      </c>
      <c r="M327" t="s">
        <v>663</v>
      </c>
      <c r="N327">
        <v>1</v>
      </c>
    </row>
    <row r="328" spans="1:14" x14ac:dyDescent="0.35">
      <c r="A328">
        <v>480</v>
      </c>
      <c r="B328" t="s">
        <v>664</v>
      </c>
      <c r="C328">
        <v>430</v>
      </c>
      <c r="D328">
        <v>7</v>
      </c>
      <c r="E328" t="s">
        <v>17</v>
      </c>
      <c r="F328">
        <v>2.7</v>
      </c>
      <c r="G328">
        <v>1039</v>
      </c>
      <c r="H328">
        <v>35</v>
      </c>
      <c r="I328">
        <v>1050</v>
      </c>
      <c r="J328">
        <v>1.05</v>
      </c>
      <c r="K328">
        <v>0.14099999999999999</v>
      </c>
      <c r="L328">
        <v>4</v>
      </c>
      <c r="M328" t="s">
        <v>665</v>
      </c>
      <c r="N328">
        <v>1</v>
      </c>
    </row>
    <row r="329" spans="1:14" x14ac:dyDescent="0.35">
      <c r="A329">
        <v>479</v>
      </c>
      <c r="B329" t="s">
        <v>666</v>
      </c>
      <c r="C329">
        <v>429</v>
      </c>
      <c r="D329">
        <v>9</v>
      </c>
      <c r="E329" t="s">
        <v>44</v>
      </c>
      <c r="F329">
        <v>1.1000000000000001</v>
      </c>
      <c r="G329">
        <v>1041</v>
      </c>
      <c r="H329">
        <v>35</v>
      </c>
      <c r="I329">
        <v>1050</v>
      </c>
      <c r="J329">
        <v>0.86</v>
      </c>
      <c r="K329">
        <v>0.14199999999999999</v>
      </c>
      <c r="L329">
        <v>4</v>
      </c>
      <c r="M329" t="s">
        <v>667</v>
      </c>
      <c r="N329">
        <v>1</v>
      </c>
    </row>
    <row r="330" spans="1:14" x14ac:dyDescent="0.35">
      <c r="A330">
        <v>478</v>
      </c>
      <c r="B330" t="s">
        <v>668</v>
      </c>
      <c r="C330">
        <v>428</v>
      </c>
      <c r="D330">
        <v>1</v>
      </c>
      <c r="E330" t="s">
        <v>41</v>
      </c>
      <c r="F330">
        <v>2.8</v>
      </c>
      <c r="G330">
        <v>1042</v>
      </c>
      <c r="H330">
        <v>35</v>
      </c>
      <c r="I330">
        <v>1050</v>
      </c>
      <c r="J330">
        <v>0.76</v>
      </c>
      <c r="K330">
        <v>0.14199999999999999</v>
      </c>
      <c r="L330">
        <v>4</v>
      </c>
      <c r="M330" t="s">
        <v>669</v>
      </c>
      <c r="N330">
        <v>1</v>
      </c>
    </row>
    <row r="331" spans="1:14" x14ac:dyDescent="0.35">
      <c r="A331">
        <v>477</v>
      </c>
      <c r="B331" t="s">
        <v>670</v>
      </c>
      <c r="C331">
        <v>427</v>
      </c>
      <c r="D331">
        <v>2</v>
      </c>
      <c r="E331" t="s">
        <v>74</v>
      </c>
      <c r="F331">
        <v>1</v>
      </c>
      <c r="G331">
        <v>1041</v>
      </c>
      <c r="H331">
        <v>35</v>
      </c>
      <c r="I331">
        <v>1050</v>
      </c>
      <c r="J331">
        <v>0.86</v>
      </c>
      <c r="K331">
        <v>0.14199999999999999</v>
      </c>
      <c r="L331">
        <v>4</v>
      </c>
      <c r="M331" t="s">
        <v>671</v>
      </c>
      <c r="N331">
        <v>1</v>
      </c>
    </row>
    <row r="332" spans="1:14" x14ac:dyDescent="0.35">
      <c r="A332">
        <v>476</v>
      </c>
      <c r="B332" t="s">
        <v>672</v>
      </c>
      <c r="C332">
        <v>426</v>
      </c>
      <c r="D332">
        <v>5</v>
      </c>
      <c r="E332" t="s">
        <v>35</v>
      </c>
      <c r="F332">
        <v>1</v>
      </c>
      <c r="G332">
        <v>1039</v>
      </c>
      <c r="H332">
        <v>35</v>
      </c>
      <c r="I332">
        <v>1050</v>
      </c>
      <c r="J332">
        <v>1.05</v>
      </c>
      <c r="K332">
        <v>0.14099999999999999</v>
      </c>
      <c r="L332">
        <v>4</v>
      </c>
      <c r="M332" t="s">
        <v>673</v>
      </c>
      <c r="N332">
        <v>1</v>
      </c>
    </row>
    <row r="333" spans="1:14" x14ac:dyDescent="0.35">
      <c r="A333">
        <v>475</v>
      </c>
      <c r="B333" t="s">
        <v>674</v>
      </c>
      <c r="C333">
        <v>425</v>
      </c>
      <c r="D333">
        <v>4</v>
      </c>
      <c r="E333" t="s">
        <v>28</v>
      </c>
      <c r="F333">
        <v>2.2999999999999998</v>
      </c>
      <c r="G333">
        <v>1041</v>
      </c>
      <c r="H333">
        <v>35</v>
      </c>
      <c r="I333">
        <v>1050</v>
      </c>
      <c r="J333">
        <v>0.86</v>
      </c>
      <c r="K333">
        <v>0.14199999999999999</v>
      </c>
      <c r="L333">
        <v>4</v>
      </c>
      <c r="M333" t="s">
        <v>675</v>
      </c>
      <c r="N333">
        <v>1</v>
      </c>
    </row>
    <row r="334" spans="1:14" x14ac:dyDescent="0.35">
      <c r="A334">
        <v>474</v>
      </c>
      <c r="B334" t="s">
        <v>676</v>
      </c>
      <c r="C334">
        <v>424</v>
      </c>
      <c r="D334">
        <v>1</v>
      </c>
      <c r="E334" t="s">
        <v>41</v>
      </c>
      <c r="F334">
        <v>2.8</v>
      </c>
      <c r="G334">
        <v>1039</v>
      </c>
      <c r="H334">
        <v>35</v>
      </c>
      <c r="I334">
        <v>1050</v>
      </c>
      <c r="J334">
        <v>1.05</v>
      </c>
      <c r="K334">
        <v>0.14099999999999999</v>
      </c>
      <c r="L334">
        <v>4</v>
      </c>
      <c r="M334" t="s">
        <v>677</v>
      </c>
      <c r="N334">
        <v>1</v>
      </c>
    </row>
    <row r="335" spans="1:14" x14ac:dyDescent="0.35">
      <c r="A335">
        <v>473</v>
      </c>
      <c r="B335" t="s">
        <v>678</v>
      </c>
      <c r="C335">
        <v>423</v>
      </c>
      <c r="D335">
        <v>8</v>
      </c>
      <c r="E335" t="s">
        <v>38</v>
      </c>
      <c r="F335">
        <v>2</v>
      </c>
      <c r="G335">
        <v>1038</v>
      </c>
      <c r="H335">
        <v>35</v>
      </c>
      <c r="I335">
        <v>1050</v>
      </c>
      <c r="J335">
        <v>1.1399999999999999</v>
      </c>
      <c r="K335">
        <v>0.14099999999999999</v>
      </c>
      <c r="L335">
        <v>3.9</v>
      </c>
      <c r="M335" t="s">
        <v>679</v>
      </c>
      <c r="N335">
        <v>1</v>
      </c>
    </row>
    <row r="336" spans="1:14" x14ac:dyDescent="0.35">
      <c r="A336">
        <v>472</v>
      </c>
      <c r="B336" t="s">
        <v>680</v>
      </c>
      <c r="C336">
        <v>422</v>
      </c>
      <c r="D336">
        <v>11</v>
      </c>
      <c r="E336" t="s">
        <v>23</v>
      </c>
      <c r="F336">
        <v>19.7</v>
      </c>
      <c r="G336">
        <v>1039</v>
      </c>
      <c r="H336">
        <v>35</v>
      </c>
      <c r="I336">
        <v>1050</v>
      </c>
      <c r="J336">
        <v>1.05</v>
      </c>
      <c r="K336">
        <v>0.14099999999999999</v>
      </c>
      <c r="L336">
        <v>3.9</v>
      </c>
      <c r="M336" t="s">
        <v>681</v>
      </c>
      <c r="N336">
        <v>1</v>
      </c>
    </row>
    <row r="337" spans="1:14" x14ac:dyDescent="0.35">
      <c r="A337">
        <v>471</v>
      </c>
      <c r="B337" t="s">
        <v>682</v>
      </c>
      <c r="C337">
        <v>421</v>
      </c>
      <c r="D337">
        <v>7</v>
      </c>
      <c r="E337" t="s">
        <v>17</v>
      </c>
      <c r="F337">
        <v>2.8</v>
      </c>
      <c r="G337">
        <v>1041</v>
      </c>
      <c r="H337">
        <v>35</v>
      </c>
      <c r="I337">
        <v>1050</v>
      </c>
      <c r="J337">
        <v>0.86</v>
      </c>
      <c r="K337">
        <v>0.14199999999999999</v>
      </c>
      <c r="L337">
        <v>4</v>
      </c>
      <c r="M337" t="s">
        <v>683</v>
      </c>
      <c r="N337">
        <v>1</v>
      </c>
    </row>
    <row r="338" spans="1:14" x14ac:dyDescent="0.35">
      <c r="A338">
        <v>470</v>
      </c>
      <c r="B338" t="s">
        <v>684</v>
      </c>
      <c r="C338">
        <v>420</v>
      </c>
      <c r="D338">
        <v>9</v>
      </c>
      <c r="E338" t="s">
        <v>44</v>
      </c>
      <c r="F338">
        <v>1</v>
      </c>
      <c r="G338">
        <v>1038</v>
      </c>
      <c r="H338">
        <v>35</v>
      </c>
      <c r="I338">
        <v>1050</v>
      </c>
      <c r="J338">
        <v>1.1399999999999999</v>
      </c>
      <c r="K338">
        <v>0.14099999999999999</v>
      </c>
      <c r="L338">
        <v>4</v>
      </c>
      <c r="M338" t="s">
        <v>685</v>
      </c>
      <c r="N338">
        <v>1</v>
      </c>
    </row>
    <row r="339" spans="1:14" x14ac:dyDescent="0.35">
      <c r="A339">
        <v>469</v>
      </c>
      <c r="B339" t="s">
        <v>686</v>
      </c>
      <c r="C339">
        <v>419</v>
      </c>
      <c r="D339">
        <v>11</v>
      </c>
      <c r="E339" t="s">
        <v>23</v>
      </c>
      <c r="F339">
        <v>14.1</v>
      </c>
      <c r="G339">
        <v>1041</v>
      </c>
      <c r="H339">
        <v>35</v>
      </c>
      <c r="I339">
        <v>1050</v>
      </c>
      <c r="J339">
        <v>0.86</v>
      </c>
      <c r="K339">
        <v>0.14199999999999999</v>
      </c>
      <c r="L339">
        <v>4</v>
      </c>
      <c r="M339" t="s">
        <v>687</v>
      </c>
      <c r="N339">
        <v>1</v>
      </c>
    </row>
    <row r="340" spans="1:14" x14ac:dyDescent="0.35">
      <c r="A340">
        <v>468</v>
      </c>
      <c r="B340" t="s">
        <v>688</v>
      </c>
      <c r="C340">
        <v>418</v>
      </c>
      <c r="D340">
        <v>5</v>
      </c>
      <c r="E340" t="s">
        <v>35</v>
      </c>
      <c r="F340">
        <v>1</v>
      </c>
      <c r="G340">
        <v>1041</v>
      </c>
      <c r="H340">
        <v>35</v>
      </c>
      <c r="I340">
        <v>1050</v>
      </c>
      <c r="J340">
        <v>0.86</v>
      </c>
      <c r="K340">
        <v>0.14199999999999999</v>
      </c>
      <c r="L340">
        <v>4</v>
      </c>
      <c r="M340" t="s">
        <v>689</v>
      </c>
      <c r="N340">
        <v>1</v>
      </c>
    </row>
    <row r="341" spans="1:14" x14ac:dyDescent="0.35">
      <c r="A341">
        <v>467</v>
      </c>
      <c r="B341" t="s">
        <v>690</v>
      </c>
      <c r="C341">
        <v>417</v>
      </c>
      <c r="D341">
        <v>1</v>
      </c>
      <c r="E341" t="s">
        <v>41</v>
      </c>
      <c r="F341">
        <v>2.9</v>
      </c>
      <c r="G341">
        <v>1040</v>
      </c>
      <c r="H341">
        <v>35</v>
      </c>
      <c r="I341">
        <v>1050</v>
      </c>
      <c r="J341">
        <v>0.95</v>
      </c>
      <c r="K341">
        <v>0.14099999999999999</v>
      </c>
      <c r="L341">
        <v>3.9</v>
      </c>
      <c r="M341" t="s">
        <v>691</v>
      </c>
      <c r="N341">
        <v>1</v>
      </c>
    </row>
    <row r="342" spans="1:14" x14ac:dyDescent="0.35">
      <c r="A342">
        <v>466</v>
      </c>
      <c r="B342" t="s">
        <v>692</v>
      </c>
      <c r="C342">
        <v>416</v>
      </c>
      <c r="D342">
        <v>7</v>
      </c>
      <c r="E342" t="s">
        <v>17</v>
      </c>
      <c r="F342">
        <v>2.8</v>
      </c>
      <c r="G342">
        <v>1037</v>
      </c>
      <c r="H342">
        <v>35</v>
      </c>
      <c r="I342">
        <v>1050</v>
      </c>
      <c r="J342">
        <v>1.24</v>
      </c>
      <c r="K342">
        <v>0.14099999999999999</v>
      </c>
      <c r="L342">
        <v>4</v>
      </c>
      <c r="M342" t="s">
        <v>693</v>
      </c>
      <c r="N342">
        <v>1</v>
      </c>
    </row>
    <row r="343" spans="1:14" x14ac:dyDescent="0.35">
      <c r="A343">
        <v>465</v>
      </c>
      <c r="B343" t="s">
        <v>694</v>
      </c>
      <c r="C343">
        <v>415</v>
      </c>
      <c r="D343">
        <v>4</v>
      </c>
      <c r="E343" t="s">
        <v>28</v>
      </c>
      <c r="F343">
        <v>2.2999999999999998</v>
      </c>
      <c r="G343">
        <v>1041</v>
      </c>
      <c r="H343">
        <v>35</v>
      </c>
      <c r="I343">
        <v>1050</v>
      </c>
      <c r="J343">
        <v>0.86</v>
      </c>
      <c r="K343">
        <v>0.14199999999999999</v>
      </c>
      <c r="L343">
        <v>4</v>
      </c>
      <c r="M343" t="s">
        <v>695</v>
      </c>
      <c r="N343">
        <v>1</v>
      </c>
    </row>
    <row r="344" spans="1:14" x14ac:dyDescent="0.35">
      <c r="A344">
        <v>464</v>
      </c>
      <c r="B344" t="s">
        <v>696</v>
      </c>
      <c r="C344">
        <v>414</v>
      </c>
      <c r="D344">
        <v>11</v>
      </c>
      <c r="E344" t="s">
        <v>23</v>
      </c>
      <c r="F344">
        <v>13.6</v>
      </c>
      <c r="G344">
        <v>1041</v>
      </c>
      <c r="H344">
        <v>35</v>
      </c>
      <c r="I344">
        <v>1050</v>
      </c>
      <c r="J344">
        <v>0.86</v>
      </c>
      <c r="K344">
        <v>0.14199999999999999</v>
      </c>
      <c r="L344">
        <v>3.9</v>
      </c>
      <c r="M344" t="s">
        <v>697</v>
      </c>
      <c r="N344">
        <v>1</v>
      </c>
    </row>
    <row r="345" spans="1:14" x14ac:dyDescent="0.35">
      <c r="A345">
        <v>463</v>
      </c>
      <c r="B345" t="s">
        <v>698</v>
      </c>
      <c r="C345">
        <v>413</v>
      </c>
      <c r="D345">
        <v>11</v>
      </c>
      <c r="E345" t="s">
        <v>23</v>
      </c>
      <c r="F345">
        <v>18</v>
      </c>
      <c r="G345">
        <v>1039</v>
      </c>
      <c r="H345">
        <v>35</v>
      </c>
      <c r="I345">
        <v>1050</v>
      </c>
      <c r="J345">
        <v>1.05</v>
      </c>
      <c r="K345">
        <v>0.14099999999999999</v>
      </c>
      <c r="L345">
        <v>3.9</v>
      </c>
      <c r="M345" t="s">
        <v>699</v>
      </c>
      <c r="N345">
        <v>1</v>
      </c>
    </row>
    <row r="346" spans="1:14" x14ac:dyDescent="0.35">
      <c r="A346">
        <v>462</v>
      </c>
      <c r="B346" t="s">
        <v>700</v>
      </c>
      <c r="C346">
        <v>412</v>
      </c>
      <c r="D346">
        <v>2</v>
      </c>
      <c r="E346" t="s">
        <v>74</v>
      </c>
      <c r="F346">
        <v>1.1000000000000001</v>
      </c>
      <c r="G346">
        <v>1041</v>
      </c>
      <c r="H346">
        <v>35</v>
      </c>
      <c r="I346">
        <v>1050</v>
      </c>
      <c r="J346">
        <v>0.86</v>
      </c>
      <c r="K346">
        <v>0.14199999999999999</v>
      </c>
      <c r="L346">
        <v>4</v>
      </c>
      <c r="M346" t="s">
        <v>701</v>
      </c>
      <c r="N346">
        <v>1</v>
      </c>
    </row>
    <row r="347" spans="1:14" x14ac:dyDescent="0.35">
      <c r="A347">
        <v>461</v>
      </c>
      <c r="B347" t="s">
        <v>702</v>
      </c>
      <c r="C347">
        <v>411</v>
      </c>
      <c r="D347">
        <v>9</v>
      </c>
      <c r="E347" t="s">
        <v>44</v>
      </c>
      <c r="F347">
        <v>1.3</v>
      </c>
      <c r="G347">
        <v>1039</v>
      </c>
      <c r="H347">
        <v>35</v>
      </c>
      <c r="I347">
        <v>1050</v>
      </c>
      <c r="J347">
        <v>1.05</v>
      </c>
      <c r="K347">
        <v>0.14099999999999999</v>
      </c>
      <c r="L347">
        <v>4</v>
      </c>
      <c r="M347" t="s">
        <v>703</v>
      </c>
      <c r="N347">
        <v>1</v>
      </c>
    </row>
    <row r="348" spans="1:14" x14ac:dyDescent="0.35">
      <c r="A348">
        <v>460</v>
      </c>
      <c r="B348" t="s">
        <v>704</v>
      </c>
      <c r="C348">
        <v>410</v>
      </c>
      <c r="D348">
        <v>8</v>
      </c>
      <c r="E348" t="s">
        <v>38</v>
      </c>
      <c r="F348">
        <v>2.1</v>
      </c>
      <c r="G348">
        <v>1040</v>
      </c>
      <c r="H348">
        <v>35</v>
      </c>
      <c r="I348">
        <v>1050</v>
      </c>
      <c r="J348">
        <v>0.95</v>
      </c>
      <c r="K348">
        <v>0.14099999999999999</v>
      </c>
      <c r="L348">
        <v>3.9</v>
      </c>
      <c r="M348" t="s">
        <v>705</v>
      </c>
      <c r="N348">
        <v>1</v>
      </c>
    </row>
    <row r="349" spans="1:14" x14ac:dyDescent="0.35">
      <c r="A349">
        <v>459</v>
      </c>
      <c r="B349" t="s">
        <v>706</v>
      </c>
      <c r="C349" s="3">
        <v>409</v>
      </c>
      <c r="D349">
        <v>3</v>
      </c>
      <c r="E349" t="s">
        <v>20</v>
      </c>
      <c r="F349">
        <v>4.8</v>
      </c>
      <c r="G349">
        <v>1039</v>
      </c>
      <c r="H349">
        <v>35</v>
      </c>
      <c r="I349">
        <v>1050</v>
      </c>
      <c r="J349">
        <v>1.05</v>
      </c>
      <c r="K349">
        <v>0.14099999999999999</v>
      </c>
      <c r="L349">
        <v>4</v>
      </c>
      <c r="M349" t="s">
        <v>707</v>
      </c>
      <c r="N349">
        <v>0</v>
      </c>
    </row>
    <row r="350" spans="1:14" x14ac:dyDescent="0.35">
      <c r="A350">
        <v>458</v>
      </c>
      <c r="B350" t="s">
        <v>708</v>
      </c>
      <c r="C350">
        <v>408</v>
      </c>
      <c r="D350">
        <v>5</v>
      </c>
      <c r="E350" t="s">
        <v>35</v>
      </c>
      <c r="F350">
        <v>1</v>
      </c>
      <c r="G350">
        <v>1042</v>
      </c>
      <c r="H350">
        <v>35</v>
      </c>
      <c r="I350">
        <v>1050</v>
      </c>
      <c r="J350">
        <v>0.76</v>
      </c>
      <c r="K350">
        <v>0.14199999999999999</v>
      </c>
      <c r="L350">
        <v>4</v>
      </c>
      <c r="M350" t="s">
        <v>709</v>
      </c>
      <c r="N350">
        <v>1</v>
      </c>
    </row>
    <row r="351" spans="1:14" x14ac:dyDescent="0.35">
      <c r="A351">
        <v>457</v>
      </c>
      <c r="B351" t="s">
        <v>710</v>
      </c>
      <c r="C351">
        <v>407</v>
      </c>
      <c r="D351">
        <v>11</v>
      </c>
      <c r="E351" t="s">
        <v>23</v>
      </c>
      <c r="F351">
        <v>13.6</v>
      </c>
      <c r="G351">
        <v>1041</v>
      </c>
      <c r="H351">
        <v>35</v>
      </c>
      <c r="I351">
        <v>1050</v>
      </c>
      <c r="J351">
        <v>0.86</v>
      </c>
      <c r="K351">
        <v>0.14199999999999999</v>
      </c>
      <c r="L351">
        <v>4</v>
      </c>
      <c r="M351" t="s">
        <v>711</v>
      </c>
      <c r="N351">
        <v>1</v>
      </c>
    </row>
    <row r="352" spans="1:14" x14ac:dyDescent="0.35">
      <c r="A352">
        <v>456</v>
      </c>
      <c r="B352" t="s">
        <v>712</v>
      </c>
      <c r="C352">
        <v>406</v>
      </c>
      <c r="D352">
        <v>2</v>
      </c>
      <c r="E352" t="s">
        <v>74</v>
      </c>
      <c r="F352">
        <v>1.4</v>
      </c>
      <c r="G352">
        <v>1039</v>
      </c>
      <c r="H352">
        <v>35</v>
      </c>
      <c r="I352">
        <v>1050</v>
      </c>
      <c r="J352">
        <v>1.05</v>
      </c>
      <c r="K352">
        <v>0.14099999999999999</v>
      </c>
      <c r="L352">
        <v>3.9</v>
      </c>
      <c r="M352" t="s">
        <v>713</v>
      </c>
      <c r="N352">
        <v>1</v>
      </c>
    </row>
    <row r="353" spans="1:14" x14ac:dyDescent="0.35">
      <c r="A353">
        <v>455</v>
      </c>
      <c r="B353" t="s">
        <v>714</v>
      </c>
      <c r="C353">
        <v>405</v>
      </c>
      <c r="D353">
        <v>11</v>
      </c>
      <c r="E353" t="s">
        <v>23</v>
      </c>
      <c r="F353">
        <v>20.100000000000001</v>
      </c>
      <c r="G353">
        <v>1038</v>
      </c>
      <c r="H353">
        <v>35</v>
      </c>
      <c r="I353">
        <v>1050</v>
      </c>
      <c r="J353">
        <v>1.1399999999999999</v>
      </c>
      <c r="K353">
        <v>0.14099999999999999</v>
      </c>
      <c r="L353">
        <v>4</v>
      </c>
      <c r="M353" t="s">
        <v>715</v>
      </c>
      <c r="N353">
        <v>1</v>
      </c>
    </row>
    <row r="354" spans="1:14" x14ac:dyDescent="0.35">
      <c r="A354">
        <v>454</v>
      </c>
      <c r="B354" t="s">
        <v>716</v>
      </c>
      <c r="C354">
        <v>404</v>
      </c>
      <c r="D354">
        <v>1</v>
      </c>
      <c r="E354" t="s">
        <v>41</v>
      </c>
      <c r="F354">
        <v>2.8</v>
      </c>
      <c r="G354">
        <v>1040</v>
      </c>
      <c r="H354">
        <v>35</v>
      </c>
      <c r="I354">
        <v>1050</v>
      </c>
      <c r="J354">
        <v>0.95</v>
      </c>
      <c r="K354">
        <v>0.14099999999999999</v>
      </c>
      <c r="L354">
        <v>4</v>
      </c>
      <c r="M354" t="s">
        <v>717</v>
      </c>
      <c r="N354">
        <v>1</v>
      </c>
    </row>
    <row r="355" spans="1:14" x14ac:dyDescent="0.35">
      <c r="A355">
        <v>453</v>
      </c>
      <c r="B355" t="s">
        <v>718</v>
      </c>
      <c r="C355">
        <v>403</v>
      </c>
      <c r="D355">
        <v>5</v>
      </c>
      <c r="E355" t="s">
        <v>35</v>
      </c>
      <c r="F355">
        <v>1</v>
      </c>
      <c r="G355">
        <v>1039</v>
      </c>
      <c r="H355">
        <v>35</v>
      </c>
      <c r="I355">
        <v>1050</v>
      </c>
      <c r="J355">
        <v>1.05</v>
      </c>
      <c r="K355">
        <v>0.14099999999999999</v>
      </c>
      <c r="L355">
        <v>4</v>
      </c>
      <c r="M355" t="s">
        <v>719</v>
      </c>
      <c r="N355">
        <v>1</v>
      </c>
    </row>
    <row r="356" spans="1:14" x14ac:dyDescent="0.35">
      <c r="A356">
        <v>452</v>
      </c>
      <c r="B356" t="s">
        <v>720</v>
      </c>
      <c r="C356">
        <v>402</v>
      </c>
      <c r="D356">
        <v>11</v>
      </c>
      <c r="E356" t="s">
        <v>23</v>
      </c>
      <c r="F356">
        <v>16.899999999999999</v>
      </c>
      <c r="G356">
        <v>1036</v>
      </c>
      <c r="H356">
        <v>35</v>
      </c>
      <c r="I356">
        <v>1050</v>
      </c>
      <c r="J356">
        <v>1.33</v>
      </c>
      <c r="K356">
        <v>0.14099999999999999</v>
      </c>
      <c r="L356">
        <v>4</v>
      </c>
      <c r="M356" t="s">
        <v>721</v>
      </c>
      <c r="N356">
        <v>1</v>
      </c>
    </row>
    <row r="357" spans="1:14" x14ac:dyDescent="0.35">
      <c r="A357">
        <v>451</v>
      </c>
      <c r="B357" t="s">
        <v>722</v>
      </c>
      <c r="C357">
        <v>401</v>
      </c>
      <c r="D357">
        <v>3</v>
      </c>
      <c r="E357" t="s">
        <v>20</v>
      </c>
      <c r="F357">
        <v>1.1000000000000001</v>
      </c>
      <c r="G357">
        <v>1036</v>
      </c>
      <c r="H357">
        <v>35</v>
      </c>
      <c r="I357">
        <v>1050</v>
      </c>
      <c r="J357">
        <v>1.33</v>
      </c>
      <c r="K357">
        <v>0.14099999999999999</v>
      </c>
      <c r="L357">
        <v>4</v>
      </c>
      <c r="M357" t="s">
        <v>723</v>
      </c>
      <c r="N357">
        <v>1</v>
      </c>
    </row>
    <row r="358" spans="1:14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x14ac:dyDescent="0.35">
      <c r="A359">
        <v>450</v>
      </c>
      <c r="B359" t="s">
        <v>724</v>
      </c>
      <c r="C359">
        <v>400</v>
      </c>
      <c r="D359">
        <v>4</v>
      </c>
      <c r="E359" t="s">
        <v>28</v>
      </c>
      <c r="F359">
        <v>2.2999999999999998</v>
      </c>
      <c r="G359">
        <v>889</v>
      </c>
      <c r="H359">
        <v>30</v>
      </c>
      <c r="I359">
        <v>900</v>
      </c>
      <c r="J359">
        <v>1.22</v>
      </c>
      <c r="K359">
        <v>0.121</v>
      </c>
      <c r="L359">
        <v>4.7</v>
      </c>
      <c r="M359" t="s">
        <v>725</v>
      </c>
      <c r="N359">
        <v>1</v>
      </c>
    </row>
    <row r="360" spans="1:14" x14ac:dyDescent="0.35">
      <c r="A360">
        <v>449</v>
      </c>
      <c r="B360" t="s">
        <v>726</v>
      </c>
      <c r="C360">
        <v>399</v>
      </c>
      <c r="D360">
        <v>2</v>
      </c>
      <c r="E360" t="s">
        <v>74</v>
      </c>
      <c r="F360">
        <v>1.2</v>
      </c>
      <c r="G360">
        <v>888</v>
      </c>
      <c r="H360">
        <v>30</v>
      </c>
      <c r="I360">
        <v>900</v>
      </c>
      <c r="J360">
        <v>1.33</v>
      </c>
      <c r="K360">
        <v>0.121</v>
      </c>
      <c r="L360">
        <v>4.5999999999999996</v>
      </c>
      <c r="M360" t="s">
        <v>727</v>
      </c>
      <c r="N360">
        <v>1</v>
      </c>
    </row>
    <row r="361" spans="1:14" x14ac:dyDescent="0.35">
      <c r="A361">
        <v>448</v>
      </c>
      <c r="B361" t="s">
        <v>728</v>
      </c>
      <c r="C361">
        <v>398</v>
      </c>
      <c r="D361">
        <v>11</v>
      </c>
      <c r="E361" t="s">
        <v>23</v>
      </c>
      <c r="F361">
        <v>5.0999999999999996</v>
      </c>
      <c r="G361">
        <v>889</v>
      </c>
      <c r="H361">
        <v>30</v>
      </c>
      <c r="I361">
        <v>900</v>
      </c>
      <c r="J361">
        <v>1.22</v>
      </c>
      <c r="K361">
        <v>0.121</v>
      </c>
      <c r="L361">
        <v>4.5999999999999996</v>
      </c>
      <c r="M361" t="s">
        <v>729</v>
      </c>
      <c r="N361">
        <v>1</v>
      </c>
    </row>
    <row r="362" spans="1:14" x14ac:dyDescent="0.35">
      <c r="A362">
        <v>447</v>
      </c>
      <c r="B362" t="s">
        <v>730</v>
      </c>
      <c r="C362">
        <v>397</v>
      </c>
      <c r="D362">
        <v>9</v>
      </c>
      <c r="E362" t="s">
        <v>44</v>
      </c>
      <c r="F362">
        <v>1.3</v>
      </c>
      <c r="G362">
        <v>891</v>
      </c>
      <c r="H362">
        <v>30</v>
      </c>
      <c r="I362">
        <v>900</v>
      </c>
      <c r="J362">
        <v>1</v>
      </c>
      <c r="K362">
        <v>0.121</v>
      </c>
      <c r="L362">
        <v>4.5999999999999996</v>
      </c>
      <c r="M362" t="s">
        <v>731</v>
      </c>
      <c r="N362">
        <v>1</v>
      </c>
    </row>
    <row r="363" spans="1:14" x14ac:dyDescent="0.35">
      <c r="A363">
        <v>446</v>
      </c>
      <c r="B363" t="s">
        <v>732</v>
      </c>
      <c r="C363">
        <v>396</v>
      </c>
      <c r="D363">
        <v>3</v>
      </c>
      <c r="E363" t="s">
        <v>20</v>
      </c>
      <c r="F363">
        <v>1.2</v>
      </c>
      <c r="G363">
        <v>890</v>
      </c>
      <c r="H363">
        <v>30</v>
      </c>
      <c r="I363">
        <v>900</v>
      </c>
      <c r="J363">
        <v>1.1100000000000001</v>
      </c>
      <c r="K363">
        <v>0.121</v>
      </c>
      <c r="L363">
        <v>4.7</v>
      </c>
      <c r="M363" t="s">
        <v>733</v>
      </c>
      <c r="N363">
        <v>1</v>
      </c>
    </row>
    <row r="364" spans="1:14" x14ac:dyDescent="0.35">
      <c r="A364">
        <v>445</v>
      </c>
      <c r="B364" t="s">
        <v>734</v>
      </c>
      <c r="C364">
        <v>395</v>
      </c>
      <c r="D364">
        <v>4</v>
      </c>
      <c r="E364" t="s">
        <v>28</v>
      </c>
      <c r="F364">
        <v>2.2000000000000002</v>
      </c>
      <c r="G364">
        <v>890</v>
      </c>
      <c r="H364">
        <v>30</v>
      </c>
      <c r="I364">
        <v>900</v>
      </c>
      <c r="J364">
        <v>1.1100000000000001</v>
      </c>
      <c r="K364">
        <v>0.121</v>
      </c>
      <c r="L364">
        <v>4.5999999999999996</v>
      </c>
      <c r="M364" t="s">
        <v>735</v>
      </c>
      <c r="N364">
        <v>1</v>
      </c>
    </row>
    <row r="365" spans="1:14" x14ac:dyDescent="0.35">
      <c r="A365">
        <v>444</v>
      </c>
      <c r="B365" t="s">
        <v>736</v>
      </c>
      <c r="C365">
        <v>394</v>
      </c>
      <c r="D365">
        <v>11</v>
      </c>
      <c r="E365" t="s">
        <v>23</v>
      </c>
      <c r="F365">
        <v>20.9</v>
      </c>
      <c r="G365">
        <v>889</v>
      </c>
      <c r="H365">
        <v>30</v>
      </c>
      <c r="I365">
        <v>900</v>
      </c>
      <c r="J365">
        <v>1.22</v>
      </c>
      <c r="K365">
        <v>0.121</v>
      </c>
      <c r="L365">
        <v>4.5999999999999996</v>
      </c>
      <c r="M365" t="s">
        <v>737</v>
      </c>
      <c r="N365">
        <v>1</v>
      </c>
    </row>
    <row r="366" spans="1:14" x14ac:dyDescent="0.35">
      <c r="A366">
        <v>443</v>
      </c>
      <c r="B366" t="s">
        <v>738</v>
      </c>
      <c r="C366">
        <v>393</v>
      </c>
      <c r="D366">
        <v>11</v>
      </c>
      <c r="E366" t="s">
        <v>23</v>
      </c>
      <c r="F366">
        <v>17.399999999999999</v>
      </c>
      <c r="G366">
        <v>890</v>
      </c>
      <c r="H366">
        <v>30</v>
      </c>
      <c r="I366">
        <v>900</v>
      </c>
      <c r="J366">
        <v>1.1100000000000001</v>
      </c>
      <c r="K366">
        <v>0.121</v>
      </c>
      <c r="L366">
        <v>4.5999999999999996</v>
      </c>
      <c r="M366" t="s">
        <v>739</v>
      </c>
      <c r="N366">
        <v>1</v>
      </c>
    </row>
    <row r="367" spans="1:14" x14ac:dyDescent="0.35">
      <c r="A367">
        <v>442</v>
      </c>
      <c r="B367" t="s">
        <v>740</v>
      </c>
      <c r="C367">
        <v>392</v>
      </c>
      <c r="D367">
        <v>11</v>
      </c>
      <c r="E367" t="s">
        <v>23</v>
      </c>
      <c r="F367">
        <v>12</v>
      </c>
      <c r="G367">
        <v>888</v>
      </c>
      <c r="H367">
        <v>30</v>
      </c>
      <c r="I367">
        <v>900</v>
      </c>
      <c r="J367">
        <v>1.33</v>
      </c>
      <c r="K367">
        <v>0.121</v>
      </c>
      <c r="L367">
        <v>4.5999999999999996</v>
      </c>
      <c r="M367" t="s">
        <v>741</v>
      </c>
      <c r="N367">
        <v>1</v>
      </c>
    </row>
    <row r="368" spans="1:14" x14ac:dyDescent="0.35">
      <c r="A368">
        <v>441</v>
      </c>
      <c r="B368" t="s">
        <v>742</v>
      </c>
      <c r="C368">
        <v>391</v>
      </c>
      <c r="D368">
        <v>8</v>
      </c>
      <c r="E368" t="s">
        <v>38</v>
      </c>
      <c r="F368">
        <v>2.1</v>
      </c>
      <c r="G368">
        <v>892</v>
      </c>
      <c r="H368">
        <v>30</v>
      </c>
      <c r="I368">
        <v>900</v>
      </c>
      <c r="J368">
        <v>0.89</v>
      </c>
      <c r="K368">
        <v>0.121</v>
      </c>
      <c r="L368">
        <v>4.7</v>
      </c>
      <c r="M368" t="s">
        <v>743</v>
      </c>
      <c r="N368">
        <v>1</v>
      </c>
    </row>
    <row r="369" spans="1:14" x14ac:dyDescent="0.35">
      <c r="A369">
        <v>440</v>
      </c>
      <c r="B369" t="s">
        <v>744</v>
      </c>
      <c r="C369">
        <v>390</v>
      </c>
      <c r="D369">
        <v>11</v>
      </c>
      <c r="E369" t="s">
        <v>23</v>
      </c>
      <c r="F369">
        <v>20.9</v>
      </c>
      <c r="G369">
        <v>890</v>
      </c>
      <c r="H369">
        <v>30</v>
      </c>
      <c r="I369">
        <v>900</v>
      </c>
      <c r="J369">
        <v>1.1100000000000001</v>
      </c>
      <c r="K369">
        <v>0.121</v>
      </c>
      <c r="L369">
        <v>4.5999999999999996</v>
      </c>
      <c r="M369" t="s">
        <v>745</v>
      </c>
      <c r="N369">
        <v>1</v>
      </c>
    </row>
    <row r="370" spans="1:14" x14ac:dyDescent="0.35">
      <c r="A370">
        <v>439</v>
      </c>
      <c r="B370" t="s">
        <v>746</v>
      </c>
      <c r="C370">
        <v>389</v>
      </c>
      <c r="D370">
        <v>7</v>
      </c>
      <c r="E370" t="s">
        <v>17</v>
      </c>
      <c r="F370">
        <v>2.8</v>
      </c>
      <c r="G370">
        <v>890</v>
      </c>
      <c r="H370">
        <v>30</v>
      </c>
      <c r="I370">
        <v>900</v>
      </c>
      <c r="J370">
        <v>1.1100000000000001</v>
      </c>
      <c r="K370">
        <v>0.121</v>
      </c>
      <c r="L370">
        <v>4.5999999999999996</v>
      </c>
      <c r="M370" t="s">
        <v>747</v>
      </c>
      <c r="N370">
        <v>1</v>
      </c>
    </row>
    <row r="371" spans="1:14" x14ac:dyDescent="0.35">
      <c r="A371">
        <v>438</v>
      </c>
      <c r="B371" t="s">
        <v>748</v>
      </c>
      <c r="C371">
        <v>388</v>
      </c>
      <c r="D371">
        <v>11</v>
      </c>
      <c r="E371" t="s">
        <v>23</v>
      </c>
      <c r="F371">
        <v>15</v>
      </c>
      <c r="G371">
        <v>890</v>
      </c>
      <c r="H371">
        <v>30</v>
      </c>
      <c r="I371">
        <v>900</v>
      </c>
      <c r="J371">
        <v>1.1100000000000001</v>
      </c>
      <c r="K371">
        <v>0.121</v>
      </c>
      <c r="L371">
        <v>4.7</v>
      </c>
      <c r="M371" t="s">
        <v>749</v>
      </c>
      <c r="N371">
        <v>1</v>
      </c>
    </row>
    <row r="372" spans="1:14" x14ac:dyDescent="0.35">
      <c r="A372">
        <v>437</v>
      </c>
      <c r="B372" t="s">
        <v>750</v>
      </c>
      <c r="C372">
        <v>387</v>
      </c>
      <c r="D372">
        <v>3</v>
      </c>
      <c r="E372" t="s">
        <v>20</v>
      </c>
      <c r="F372">
        <v>3.1</v>
      </c>
      <c r="G372">
        <v>889</v>
      </c>
      <c r="H372">
        <v>30</v>
      </c>
      <c r="I372">
        <v>900</v>
      </c>
      <c r="J372">
        <v>1.22</v>
      </c>
      <c r="K372">
        <v>0.121</v>
      </c>
      <c r="L372">
        <v>4.7</v>
      </c>
      <c r="M372" t="s">
        <v>751</v>
      </c>
      <c r="N372">
        <v>1</v>
      </c>
    </row>
    <row r="373" spans="1:14" x14ac:dyDescent="0.35">
      <c r="A373">
        <v>436</v>
      </c>
      <c r="B373" t="s">
        <v>752</v>
      </c>
      <c r="C373">
        <v>386</v>
      </c>
      <c r="D373">
        <v>3</v>
      </c>
      <c r="E373" t="s">
        <v>20</v>
      </c>
      <c r="F373">
        <v>1.4</v>
      </c>
      <c r="G373">
        <v>890</v>
      </c>
      <c r="H373">
        <v>30</v>
      </c>
      <c r="I373">
        <v>900</v>
      </c>
      <c r="J373">
        <v>1.1100000000000001</v>
      </c>
      <c r="K373">
        <v>0.121</v>
      </c>
      <c r="L373">
        <v>4.7</v>
      </c>
      <c r="M373" t="s">
        <v>753</v>
      </c>
      <c r="N373">
        <v>1</v>
      </c>
    </row>
    <row r="374" spans="1:14" x14ac:dyDescent="0.35">
      <c r="A374">
        <v>435</v>
      </c>
      <c r="B374" t="s">
        <v>754</v>
      </c>
      <c r="C374">
        <v>385</v>
      </c>
      <c r="D374">
        <v>11</v>
      </c>
      <c r="E374" t="s">
        <v>23</v>
      </c>
      <c r="F374">
        <v>20.8</v>
      </c>
      <c r="G374">
        <v>891</v>
      </c>
      <c r="H374">
        <v>30</v>
      </c>
      <c r="I374">
        <v>900</v>
      </c>
      <c r="J374">
        <v>1</v>
      </c>
      <c r="K374">
        <v>0.121</v>
      </c>
      <c r="L374">
        <v>4.7</v>
      </c>
      <c r="M374" t="s">
        <v>755</v>
      </c>
      <c r="N374">
        <v>1</v>
      </c>
    </row>
    <row r="375" spans="1:14" x14ac:dyDescent="0.35">
      <c r="A375">
        <v>434</v>
      </c>
      <c r="B375" t="s">
        <v>756</v>
      </c>
      <c r="C375">
        <v>384</v>
      </c>
      <c r="D375">
        <v>11</v>
      </c>
      <c r="E375" t="s">
        <v>23</v>
      </c>
      <c r="F375">
        <v>19.399999999999999</v>
      </c>
      <c r="G375">
        <v>889</v>
      </c>
      <c r="H375">
        <v>30</v>
      </c>
      <c r="I375">
        <v>900</v>
      </c>
      <c r="J375">
        <v>1.22</v>
      </c>
      <c r="K375">
        <v>0.121</v>
      </c>
      <c r="L375">
        <v>4.5999999999999996</v>
      </c>
      <c r="M375" t="s">
        <v>757</v>
      </c>
      <c r="N375">
        <v>1</v>
      </c>
    </row>
    <row r="376" spans="1:14" x14ac:dyDescent="0.35">
      <c r="A376">
        <v>433</v>
      </c>
      <c r="B376" t="s">
        <v>758</v>
      </c>
      <c r="C376">
        <v>383</v>
      </c>
      <c r="D376">
        <v>11</v>
      </c>
      <c r="E376" t="s">
        <v>23</v>
      </c>
      <c r="F376">
        <v>17.600000000000001</v>
      </c>
      <c r="G376">
        <v>890</v>
      </c>
      <c r="H376">
        <v>30</v>
      </c>
      <c r="I376">
        <v>900</v>
      </c>
      <c r="J376">
        <v>1.1100000000000001</v>
      </c>
      <c r="K376">
        <v>0.121</v>
      </c>
      <c r="L376">
        <v>4.5999999999999996</v>
      </c>
      <c r="M376" t="s">
        <v>759</v>
      </c>
      <c r="N376">
        <v>1</v>
      </c>
    </row>
    <row r="377" spans="1:14" x14ac:dyDescent="0.35">
      <c r="A377">
        <v>432</v>
      </c>
      <c r="B377" t="s">
        <v>760</v>
      </c>
      <c r="C377">
        <v>382</v>
      </c>
      <c r="D377">
        <v>7</v>
      </c>
      <c r="E377" t="s">
        <v>17</v>
      </c>
      <c r="F377">
        <v>2.8</v>
      </c>
      <c r="G377">
        <v>890</v>
      </c>
      <c r="H377">
        <v>30</v>
      </c>
      <c r="I377">
        <v>900</v>
      </c>
      <c r="J377">
        <v>1.1100000000000001</v>
      </c>
      <c r="K377">
        <v>0.121</v>
      </c>
      <c r="L377">
        <v>4.7</v>
      </c>
      <c r="M377" t="s">
        <v>761</v>
      </c>
      <c r="N377">
        <v>1</v>
      </c>
    </row>
    <row r="378" spans="1:14" x14ac:dyDescent="0.35">
      <c r="A378">
        <v>431</v>
      </c>
      <c r="B378" t="s">
        <v>762</v>
      </c>
      <c r="C378">
        <v>381</v>
      </c>
      <c r="D378">
        <v>9</v>
      </c>
      <c r="E378" t="s">
        <v>44</v>
      </c>
      <c r="F378">
        <v>1.4</v>
      </c>
      <c r="G378">
        <v>891</v>
      </c>
      <c r="H378">
        <v>30</v>
      </c>
      <c r="I378">
        <v>900</v>
      </c>
      <c r="J378">
        <v>1</v>
      </c>
      <c r="K378">
        <v>0.121</v>
      </c>
      <c r="L378">
        <v>4.7</v>
      </c>
      <c r="M378" t="s">
        <v>763</v>
      </c>
      <c r="N378">
        <v>1</v>
      </c>
    </row>
    <row r="379" spans="1:14" x14ac:dyDescent="0.35">
      <c r="A379">
        <v>430</v>
      </c>
      <c r="B379" t="s">
        <v>764</v>
      </c>
      <c r="C379">
        <v>380</v>
      </c>
      <c r="D379">
        <v>5</v>
      </c>
      <c r="E379" t="s">
        <v>35</v>
      </c>
      <c r="F379">
        <v>1.1000000000000001</v>
      </c>
      <c r="G379">
        <v>890</v>
      </c>
      <c r="H379">
        <v>30</v>
      </c>
      <c r="I379">
        <v>900</v>
      </c>
      <c r="J379">
        <v>1.1100000000000001</v>
      </c>
      <c r="K379">
        <v>0.121</v>
      </c>
      <c r="L379">
        <v>4.7</v>
      </c>
      <c r="M379" t="s">
        <v>765</v>
      </c>
      <c r="N379">
        <v>1</v>
      </c>
    </row>
    <row r="380" spans="1:14" x14ac:dyDescent="0.35">
      <c r="A380">
        <v>429</v>
      </c>
      <c r="B380" t="s">
        <v>766</v>
      </c>
      <c r="C380">
        <v>379</v>
      </c>
      <c r="D380">
        <v>4</v>
      </c>
      <c r="E380" t="s">
        <v>28</v>
      </c>
      <c r="F380">
        <v>2.2999999999999998</v>
      </c>
      <c r="G380">
        <v>890</v>
      </c>
      <c r="H380">
        <v>30</v>
      </c>
      <c r="I380">
        <v>900</v>
      </c>
      <c r="J380">
        <v>1.1100000000000001</v>
      </c>
      <c r="K380">
        <v>0.121</v>
      </c>
      <c r="L380">
        <v>4.5999999999999996</v>
      </c>
      <c r="M380" t="s">
        <v>767</v>
      </c>
      <c r="N380">
        <v>1</v>
      </c>
    </row>
    <row r="381" spans="1:14" x14ac:dyDescent="0.35">
      <c r="A381">
        <v>428</v>
      </c>
      <c r="B381" t="s">
        <v>768</v>
      </c>
      <c r="C381">
        <v>378</v>
      </c>
      <c r="D381">
        <v>11</v>
      </c>
      <c r="E381" t="s">
        <v>23</v>
      </c>
      <c r="F381">
        <v>20.8</v>
      </c>
      <c r="G381">
        <v>890</v>
      </c>
      <c r="H381">
        <v>30</v>
      </c>
      <c r="I381">
        <v>900</v>
      </c>
      <c r="J381">
        <v>1.1100000000000001</v>
      </c>
      <c r="K381">
        <v>0.121</v>
      </c>
      <c r="L381">
        <v>4.7</v>
      </c>
      <c r="M381" t="s">
        <v>769</v>
      </c>
      <c r="N381">
        <v>1</v>
      </c>
    </row>
    <row r="382" spans="1:14" x14ac:dyDescent="0.35">
      <c r="A382">
        <v>427</v>
      </c>
      <c r="B382" t="s">
        <v>770</v>
      </c>
      <c r="C382">
        <v>377</v>
      </c>
      <c r="D382">
        <v>11</v>
      </c>
      <c r="E382" t="s">
        <v>23</v>
      </c>
      <c r="F382">
        <v>18.899999999999999</v>
      </c>
      <c r="G382">
        <v>891</v>
      </c>
      <c r="H382">
        <v>30</v>
      </c>
      <c r="I382">
        <v>900</v>
      </c>
      <c r="J382">
        <v>1</v>
      </c>
      <c r="K382">
        <v>0.121</v>
      </c>
      <c r="L382">
        <v>4.5999999999999996</v>
      </c>
      <c r="M382" t="s">
        <v>771</v>
      </c>
      <c r="N382">
        <v>1</v>
      </c>
    </row>
    <row r="383" spans="1:14" x14ac:dyDescent="0.35">
      <c r="A383">
        <v>426</v>
      </c>
      <c r="B383" t="s">
        <v>772</v>
      </c>
      <c r="C383">
        <v>376</v>
      </c>
      <c r="D383">
        <v>11</v>
      </c>
      <c r="E383" t="s">
        <v>23</v>
      </c>
      <c r="F383">
        <v>6.3</v>
      </c>
      <c r="G383">
        <v>889</v>
      </c>
      <c r="H383">
        <v>30</v>
      </c>
      <c r="I383">
        <v>900</v>
      </c>
      <c r="J383">
        <v>1.22</v>
      </c>
      <c r="K383">
        <v>0.121</v>
      </c>
      <c r="L383">
        <v>4.5999999999999996</v>
      </c>
      <c r="M383" t="s">
        <v>773</v>
      </c>
      <c r="N383">
        <v>1</v>
      </c>
    </row>
    <row r="384" spans="1:14" x14ac:dyDescent="0.35">
      <c r="A384">
        <v>425</v>
      </c>
      <c r="B384" t="s">
        <v>774</v>
      </c>
      <c r="C384">
        <v>375</v>
      </c>
      <c r="D384">
        <v>3</v>
      </c>
      <c r="E384" t="s">
        <v>20</v>
      </c>
      <c r="F384">
        <v>1.1000000000000001</v>
      </c>
      <c r="G384">
        <v>890</v>
      </c>
      <c r="H384">
        <v>30</v>
      </c>
      <c r="I384">
        <v>900</v>
      </c>
      <c r="J384">
        <v>1.1100000000000001</v>
      </c>
      <c r="K384">
        <v>0.121</v>
      </c>
      <c r="L384">
        <v>4.5999999999999996</v>
      </c>
      <c r="M384" t="s">
        <v>775</v>
      </c>
      <c r="N384">
        <v>1</v>
      </c>
    </row>
    <row r="385" spans="1:14" x14ac:dyDescent="0.35">
      <c r="A385">
        <v>424</v>
      </c>
      <c r="B385" t="s">
        <v>776</v>
      </c>
      <c r="C385">
        <v>374</v>
      </c>
      <c r="D385">
        <v>11</v>
      </c>
      <c r="E385" t="s">
        <v>23</v>
      </c>
      <c r="F385">
        <v>16.3</v>
      </c>
      <c r="G385">
        <v>889</v>
      </c>
      <c r="H385">
        <v>30</v>
      </c>
      <c r="I385">
        <v>900</v>
      </c>
      <c r="J385">
        <v>1.22</v>
      </c>
      <c r="K385">
        <v>0.121</v>
      </c>
      <c r="L385">
        <v>4.5999999999999996</v>
      </c>
      <c r="M385" t="s">
        <v>777</v>
      </c>
      <c r="N385">
        <v>1</v>
      </c>
    </row>
    <row r="386" spans="1:14" x14ac:dyDescent="0.35">
      <c r="A386">
        <v>423</v>
      </c>
      <c r="B386" t="s">
        <v>778</v>
      </c>
      <c r="C386">
        <v>373</v>
      </c>
      <c r="D386">
        <v>7</v>
      </c>
      <c r="E386" t="s">
        <v>17</v>
      </c>
      <c r="F386">
        <v>2.8</v>
      </c>
      <c r="G386">
        <v>891</v>
      </c>
      <c r="H386">
        <v>30</v>
      </c>
      <c r="I386">
        <v>900</v>
      </c>
      <c r="J386">
        <v>1</v>
      </c>
      <c r="K386">
        <v>0.121</v>
      </c>
      <c r="L386">
        <v>4.5999999999999996</v>
      </c>
      <c r="M386" t="s">
        <v>779</v>
      </c>
      <c r="N386">
        <v>1</v>
      </c>
    </row>
    <row r="387" spans="1:14" x14ac:dyDescent="0.35">
      <c r="A387">
        <v>422</v>
      </c>
      <c r="B387" t="s">
        <v>780</v>
      </c>
      <c r="C387">
        <v>372</v>
      </c>
      <c r="D387">
        <v>4</v>
      </c>
      <c r="E387" t="s">
        <v>28</v>
      </c>
      <c r="F387">
        <v>2.2999999999999998</v>
      </c>
      <c r="G387">
        <v>891</v>
      </c>
      <c r="H387">
        <v>30</v>
      </c>
      <c r="I387">
        <v>900</v>
      </c>
      <c r="J387">
        <v>1</v>
      </c>
      <c r="K387">
        <v>0.121</v>
      </c>
      <c r="L387">
        <v>4.7</v>
      </c>
      <c r="M387" t="s">
        <v>781</v>
      </c>
      <c r="N387">
        <v>1</v>
      </c>
    </row>
    <row r="388" spans="1:14" x14ac:dyDescent="0.35">
      <c r="A388">
        <v>421</v>
      </c>
      <c r="B388" t="s">
        <v>782</v>
      </c>
      <c r="C388">
        <v>371</v>
      </c>
      <c r="D388">
        <v>11</v>
      </c>
      <c r="E388" t="s">
        <v>23</v>
      </c>
      <c r="F388">
        <v>17.8</v>
      </c>
      <c r="G388">
        <v>889</v>
      </c>
      <c r="H388">
        <v>30</v>
      </c>
      <c r="I388">
        <v>900</v>
      </c>
      <c r="J388">
        <v>1.22</v>
      </c>
      <c r="K388">
        <v>0.121</v>
      </c>
      <c r="L388">
        <v>4.5999999999999996</v>
      </c>
      <c r="M388" t="s">
        <v>783</v>
      </c>
      <c r="N388">
        <v>1</v>
      </c>
    </row>
    <row r="389" spans="1:14" x14ac:dyDescent="0.35">
      <c r="A389">
        <v>420</v>
      </c>
      <c r="B389" t="s">
        <v>784</v>
      </c>
      <c r="C389">
        <v>370</v>
      </c>
      <c r="D389">
        <v>6</v>
      </c>
      <c r="E389" t="s">
        <v>14</v>
      </c>
      <c r="F389">
        <v>1.2</v>
      </c>
      <c r="G389">
        <v>891</v>
      </c>
      <c r="H389">
        <v>30</v>
      </c>
      <c r="I389">
        <v>900</v>
      </c>
      <c r="J389">
        <v>1</v>
      </c>
      <c r="K389">
        <v>0.121</v>
      </c>
      <c r="L389">
        <v>4.5999999999999996</v>
      </c>
      <c r="M389" t="s">
        <v>785</v>
      </c>
      <c r="N389">
        <v>1</v>
      </c>
    </row>
    <row r="390" spans="1:14" x14ac:dyDescent="0.35">
      <c r="A390">
        <v>419</v>
      </c>
      <c r="B390" t="s">
        <v>786</v>
      </c>
      <c r="C390">
        <v>369</v>
      </c>
      <c r="D390">
        <v>11</v>
      </c>
      <c r="E390" t="s">
        <v>23</v>
      </c>
      <c r="F390">
        <v>21.8</v>
      </c>
      <c r="G390">
        <v>889</v>
      </c>
      <c r="H390">
        <v>30</v>
      </c>
      <c r="I390">
        <v>900</v>
      </c>
      <c r="J390">
        <v>1.22</v>
      </c>
      <c r="K390">
        <v>0.121</v>
      </c>
      <c r="L390">
        <v>4.7</v>
      </c>
      <c r="M390" t="s">
        <v>787</v>
      </c>
      <c r="N390">
        <v>1</v>
      </c>
    </row>
    <row r="391" spans="1:14" x14ac:dyDescent="0.35">
      <c r="A391">
        <v>418</v>
      </c>
      <c r="B391" t="s">
        <v>788</v>
      </c>
      <c r="C391">
        <v>368</v>
      </c>
      <c r="D391">
        <v>1</v>
      </c>
      <c r="E391" t="s">
        <v>41</v>
      </c>
      <c r="F391">
        <v>2.9</v>
      </c>
      <c r="G391">
        <v>891</v>
      </c>
      <c r="H391">
        <v>30</v>
      </c>
      <c r="I391">
        <v>900</v>
      </c>
      <c r="J391">
        <v>1</v>
      </c>
      <c r="K391">
        <v>0.121</v>
      </c>
      <c r="L391">
        <v>4.7</v>
      </c>
      <c r="M391" t="s">
        <v>789</v>
      </c>
      <c r="N391">
        <v>1</v>
      </c>
    </row>
    <row r="392" spans="1:14" x14ac:dyDescent="0.35">
      <c r="A392">
        <v>417</v>
      </c>
      <c r="B392" t="s">
        <v>790</v>
      </c>
      <c r="C392">
        <v>367</v>
      </c>
      <c r="D392">
        <v>3</v>
      </c>
      <c r="E392" t="s">
        <v>20</v>
      </c>
      <c r="F392">
        <v>1.1000000000000001</v>
      </c>
      <c r="G392">
        <v>891</v>
      </c>
      <c r="H392">
        <v>30</v>
      </c>
      <c r="I392">
        <v>900</v>
      </c>
      <c r="J392">
        <v>1</v>
      </c>
      <c r="K392">
        <v>0.121</v>
      </c>
      <c r="L392">
        <v>4.7</v>
      </c>
      <c r="M392" t="s">
        <v>791</v>
      </c>
      <c r="N392">
        <v>1</v>
      </c>
    </row>
    <row r="393" spans="1:14" x14ac:dyDescent="0.35">
      <c r="A393">
        <v>416</v>
      </c>
      <c r="B393" t="s">
        <v>792</v>
      </c>
      <c r="C393">
        <v>366</v>
      </c>
      <c r="D393">
        <v>6</v>
      </c>
      <c r="E393" t="s">
        <v>14</v>
      </c>
      <c r="F393">
        <v>1.2</v>
      </c>
      <c r="G393">
        <v>890</v>
      </c>
      <c r="H393">
        <v>30</v>
      </c>
      <c r="I393">
        <v>900</v>
      </c>
      <c r="J393">
        <v>1.1100000000000001</v>
      </c>
      <c r="K393">
        <v>0.121</v>
      </c>
      <c r="L393">
        <v>4.5999999999999996</v>
      </c>
      <c r="M393" t="s">
        <v>793</v>
      </c>
      <c r="N393">
        <v>1</v>
      </c>
    </row>
    <row r="394" spans="1:14" x14ac:dyDescent="0.35">
      <c r="A394">
        <v>415</v>
      </c>
      <c r="B394" t="s">
        <v>794</v>
      </c>
      <c r="C394">
        <v>365</v>
      </c>
      <c r="D394">
        <v>7</v>
      </c>
      <c r="E394" t="s">
        <v>17</v>
      </c>
      <c r="F394">
        <v>2.8</v>
      </c>
      <c r="G394">
        <v>890</v>
      </c>
      <c r="H394">
        <v>30</v>
      </c>
      <c r="I394">
        <v>900</v>
      </c>
      <c r="J394">
        <v>1.1100000000000001</v>
      </c>
      <c r="K394">
        <v>0.121</v>
      </c>
      <c r="L394">
        <v>4.7</v>
      </c>
      <c r="M394" t="s">
        <v>795</v>
      </c>
      <c r="N394">
        <v>1</v>
      </c>
    </row>
    <row r="395" spans="1:14" x14ac:dyDescent="0.35">
      <c r="A395">
        <v>414</v>
      </c>
      <c r="B395" t="s">
        <v>796</v>
      </c>
      <c r="C395">
        <v>364</v>
      </c>
      <c r="D395">
        <v>8</v>
      </c>
      <c r="E395" t="s">
        <v>38</v>
      </c>
      <c r="F395">
        <v>2.2000000000000002</v>
      </c>
      <c r="G395">
        <v>891</v>
      </c>
      <c r="H395">
        <v>30</v>
      </c>
      <c r="I395">
        <v>900</v>
      </c>
      <c r="J395">
        <v>1</v>
      </c>
      <c r="K395">
        <v>0.121</v>
      </c>
      <c r="L395">
        <v>4.7</v>
      </c>
      <c r="M395" t="s">
        <v>797</v>
      </c>
      <c r="N395">
        <v>1</v>
      </c>
    </row>
    <row r="396" spans="1:14" x14ac:dyDescent="0.35">
      <c r="A396">
        <v>413</v>
      </c>
      <c r="B396" t="s">
        <v>798</v>
      </c>
      <c r="C396">
        <v>363</v>
      </c>
      <c r="D396">
        <v>11</v>
      </c>
      <c r="E396" t="s">
        <v>23</v>
      </c>
      <c r="F396">
        <v>11.8</v>
      </c>
      <c r="G396">
        <v>892</v>
      </c>
      <c r="H396">
        <v>30</v>
      </c>
      <c r="I396">
        <v>900</v>
      </c>
      <c r="J396">
        <v>0.89</v>
      </c>
      <c r="K396">
        <v>0.121</v>
      </c>
      <c r="L396">
        <v>4.5999999999999996</v>
      </c>
      <c r="M396" t="s">
        <v>799</v>
      </c>
      <c r="N396">
        <v>1</v>
      </c>
    </row>
    <row r="397" spans="1:14" x14ac:dyDescent="0.35">
      <c r="A397">
        <v>412</v>
      </c>
      <c r="B397" t="s">
        <v>800</v>
      </c>
      <c r="C397">
        <v>362</v>
      </c>
      <c r="D397">
        <v>11</v>
      </c>
      <c r="E397" t="s">
        <v>23</v>
      </c>
      <c r="F397">
        <v>11.8</v>
      </c>
      <c r="G397">
        <v>889</v>
      </c>
      <c r="H397">
        <v>30</v>
      </c>
      <c r="I397">
        <v>900</v>
      </c>
      <c r="J397">
        <v>1.22</v>
      </c>
      <c r="K397">
        <v>0.121</v>
      </c>
      <c r="L397">
        <v>4.5999999999999996</v>
      </c>
      <c r="M397" t="s">
        <v>801</v>
      </c>
      <c r="N397">
        <v>1</v>
      </c>
    </row>
    <row r="398" spans="1:14" x14ac:dyDescent="0.35">
      <c r="A398">
        <v>411</v>
      </c>
      <c r="B398" t="s">
        <v>802</v>
      </c>
      <c r="C398">
        <v>361</v>
      </c>
      <c r="D398">
        <v>6</v>
      </c>
      <c r="E398" t="s">
        <v>14</v>
      </c>
      <c r="F398">
        <v>1.1000000000000001</v>
      </c>
      <c r="G398">
        <v>889</v>
      </c>
      <c r="H398">
        <v>30</v>
      </c>
      <c r="I398">
        <v>900</v>
      </c>
      <c r="J398">
        <v>1.22</v>
      </c>
      <c r="K398">
        <v>0.121</v>
      </c>
      <c r="L398">
        <v>4.7</v>
      </c>
      <c r="M398" t="s">
        <v>803</v>
      </c>
      <c r="N398">
        <v>1</v>
      </c>
    </row>
    <row r="399" spans="1:14" x14ac:dyDescent="0.35">
      <c r="A399">
        <v>410</v>
      </c>
      <c r="B399" t="s">
        <v>804</v>
      </c>
      <c r="C399">
        <v>360</v>
      </c>
      <c r="D399">
        <v>9</v>
      </c>
      <c r="E399" t="s">
        <v>44</v>
      </c>
      <c r="F399">
        <v>1.5</v>
      </c>
      <c r="G399">
        <v>890</v>
      </c>
      <c r="H399">
        <v>30</v>
      </c>
      <c r="I399">
        <v>900</v>
      </c>
      <c r="J399">
        <v>1.1100000000000001</v>
      </c>
      <c r="K399">
        <v>0.121</v>
      </c>
      <c r="L399">
        <v>4.5999999999999996</v>
      </c>
      <c r="M399" t="s">
        <v>805</v>
      </c>
      <c r="N399">
        <v>1</v>
      </c>
    </row>
    <row r="400" spans="1:14" x14ac:dyDescent="0.35">
      <c r="A400">
        <v>409</v>
      </c>
      <c r="B400" t="s">
        <v>806</v>
      </c>
      <c r="C400">
        <v>359</v>
      </c>
      <c r="D400">
        <v>11</v>
      </c>
      <c r="E400" t="s">
        <v>23</v>
      </c>
      <c r="F400">
        <v>6.1</v>
      </c>
      <c r="G400">
        <v>889</v>
      </c>
      <c r="H400">
        <v>30</v>
      </c>
      <c r="I400">
        <v>900</v>
      </c>
      <c r="J400">
        <v>1.22</v>
      </c>
      <c r="K400">
        <v>0.121</v>
      </c>
      <c r="L400">
        <v>4.5999999999999996</v>
      </c>
      <c r="M400" t="s">
        <v>807</v>
      </c>
      <c r="N400">
        <v>1</v>
      </c>
    </row>
    <row r="401" spans="1:14" x14ac:dyDescent="0.35">
      <c r="A401">
        <v>408</v>
      </c>
      <c r="B401" t="s">
        <v>808</v>
      </c>
      <c r="C401">
        <v>358</v>
      </c>
      <c r="D401">
        <v>7</v>
      </c>
      <c r="E401" t="s">
        <v>17</v>
      </c>
      <c r="F401">
        <v>2.9</v>
      </c>
      <c r="G401">
        <v>891</v>
      </c>
      <c r="H401">
        <v>30</v>
      </c>
      <c r="I401">
        <v>900</v>
      </c>
      <c r="J401">
        <v>1</v>
      </c>
      <c r="K401">
        <v>0.121</v>
      </c>
      <c r="L401">
        <v>4.5999999999999996</v>
      </c>
      <c r="M401" t="s">
        <v>809</v>
      </c>
      <c r="N401">
        <v>1</v>
      </c>
    </row>
    <row r="402" spans="1:14" x14ac:dyDescent="0.35">
      <c r="A402">
        <v>407</v>
      </c>
      <c r="B402" t="s">
        <v>810</v>
      </c>
      <c r="C402">
        <v>357</v>
      </c>
      <c r="D402">
        <v>11</v>
      </c>
      <c r="E402" t="s">
        <v>23</v>
      </c>
      <c r="F402">
        <v>14.6</v>
      </c>
      <c r="G402">
        <v>889</v>
      </c>
      <c r="H402">
        <v>30</v>
      </c>
      <c r="I402">
        <v>900</v>
      </c>
      <c r="J402">
        <v>1.22</v>
      </c>
      <c r="K402">
        <v>0.121</v>
      </c>
      <c r="L402">
        <v>4.7</v>
      </c>
      <c r="M402" t="s">
        <v>811</v>
      </c>
      <c r="N402">
        <v>1</v>
      </c>
    </row>
    <row r="403" spans="1:14" x14ac:dyDescent="0.35">
      <c r="A403">
        <v>406</v>
      </c>
      <c r="B403" t="s">
        <v>812</v>
      </c>
      <c r="C403">
        <v>356</v>
      </c>
      <c r="D403">
        <v>1</v>
      </c>
      <c r="E403" t="s">
        <v>41</v>
      </c>
      <c r="F403">
        <v>2.8</v>
      </c>
      <c r="G403">
        <v>889</v>
      </c>
      <c r="H403">
        <v>30</v>
      </c>
      <c r="I403">
        <v>900</v>
      </c>
      <c r="J403">
        <v>1.22</v>
      </c>
      <c r="K403">
        <v>0.121</v>
      </c>
      <c r="L403">
        <v>4.7</v>
      </c>
      <c r="M403" t="s">
        <v>813</v>
      </c>
      <c r="N403">
        <v>1</v>
      </c>
    </row>
    <row r="404" spans="1:14" x14ac:dyDescent="0.35">
      <c r="A404">
        <v>405</v>
      </c>
      <c r="B404" t="s">
        <v>814</v>
      </c>
      <c r="C404">
        <v>355</v>
      </c>
      <c r="D404">
        <v>4</v>
      </c>
      <c r="E404" t="s">
        <v>28</v>
      </c>
      <c r="F404">
        <v>2.2999999999999998</v>
      </c>
      <c r="G404">
        <v>889</v>
      </c>
      <c r="H404">
        <v>30</v>
      </c>
      <c r="I404">
        <v>900</v>
      </c>
      <c r="J404">
        <v>1.22</v>
      </c>
      <c r="K404">
        <v>0.121</v>
      </c>
      <c r="L404">
        <v>4.5999999999999996</v>
      </c>
      <c r="M404" t="s">
        <v>815</v>
      </c>
      <c r="N404">
        <v>1</v>
      </c>
    </row>
    <row r="405" spans="1:14" x14ac:dyDescent="0.35">
      <c r="A405">
        <v>404</v>
      </c>
      <c r="B405" t="s">
        <v>816</v>
      </c>
      <c r="C405">
        <v>354</v>
      </c>
      <c r="D405">
        <v>8</v>
      </c>
      <c r="E405" t="s">
        <v>38</v>
      </c>
      <c r="F405">
        <v>2.2000000000000002</v>
      </c>
      <c r="G405">
        <v>888</v>
      </c>
      <c r="H405">
        <v>30</v>
      </c>
      <c r="I405">
        <v>900</v>
      </c>
      <c r="J405">
        <v>1.33</v>
      </c>
      <c r="K405">
        <v>0.121</v>
      </c>
      <c r="L405">
        <v>4.5999999999999996</v>
      </c>
      <c r="M405" t="s">
        <v>817</v>
      </c>
      <c r="N405">
        <v>1</v>
      </c>
    </row>
    <row r="406" spans="1:14" x14ac:dyDescent="0.35">
      <c r="A406">
        <v>403</v>
      </c>
      <c r="B406" t="s">
        <v>818</v>
      </c>
      <c r="C406">
        <v>353</v>
      </c>
      <c r="D406">
        <v>5</v>
      </c>
      <c r="E406" t="s">
        <v>35</v>
      </c>
      <c r="F406">
        <v>1.1000000000000001</v>
      </c>
      <c r="G406">
        <v>889</v>
      </c>
      <c r="H406">
        <v>30</v>
      </c>
      <c r="I406">
        <v>900</v>
      </c>
      <c r="J406">
        <v>1.22</v>
      </c>
      <c r="K406">
        <v>0.121</v>
      </c>
      <c r="L406">
        <v>4.5999999999999996</v>
      </c>
      <c r="M406" t="s">
        <v>819</v>
      </c>
      <c r="N406">
        <v>1</v>
      </c>
    </row>
    <row r="407" spans="1:14" x14ac:dyDescent="0.35">
      <c r="A407">
        <v>402</v>
      </c>
      <c r="B407" t="s">
        <v>820</v>
      </c>
      <c r="C407">
        <v>352</v>
      </c>
      <c r="D407">
        <v>11</v>
      </c>
      <c r="E407" t="s">
        <v>23</v>
      </c>
      <c r="F407">
        <v>15</v>
      </c>
      <c r="G407">
        <v>891</v>
      </c>
      <c r="H407">
        <v>30</v>
      </c>
      <c r="I407">
        <v>900</v>
      </c>
      <c r="J407">
        <v>1</v>
      </c>
      <c r="K407">
        <v>0.121</v>
      </c>
      <c r="L407">
        <v>4.7</v>
      </c>
      <c r="M407" t="s">
        <v>821</v>
      </c>
      <c r="N407">
        <v>1</v>
      </c>
    </row>
    <row r="408" spans="1:14" x14ac:dyDescent="0.35">
      <c r="A408">
        <v>401</v>
      </c>
      <c r="B408" t="s">
        <v>822</v>
      </c>
      <c r="C408">
        <v>351</v>
      </c>
      <c r="D408">
        <v>2</v>
      </c>
      <c r="E408" t="s">
        <v>74</v>
      </c>
      <c r="F408">
        <v>1.3</v>
      </c>
      <c r="G408">
        <v>890</v>
      </c>
      <c r="H408">
        <v>30</v>
      </c>
      <c r="I408">
        <v>900</v>
      </c>
      <c r="J408">
        <v>1.1100000000000001</v>
      </c>
      <c r="K408">
        <v>0.121</v>
      </c>
      <c r="L408">
        <v>4.7</v>
      </c>
      <c r="M408" t="s">
        <v>823</v>
      </c>
      <c r="N408">
        <v>1</v>
      </c>
    </row>
    <row r="409" spans="1:14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x14ac:dyDescent="0.35">
      <c r="A410">
        <v>400</v>
      </c>
      <c r="B410" t="s">
        <v>824</v>
      </c>
      <c r="C410">
        <v>350</v>
      </c>
      <c r="D410">
        <v>11</v>
      </c>
      <c r="E410" t="s">
        <v>23</v>
      </c>
      <c r="F410">
        <v>15.2</v>
      </c>
      <c r="G410">
        <v>739</v>
      </c>
      <c r="H410">
        <v>25</v>
      </c>
      <c r="I410">
        <v>750</v>
      </c>
      <c r="J410">
        <v>1.47</v>
      </c>
      <c r="K410">
        <v>0.10100000000000001</v>
      </c>
      <c r="L410">
        <v>5.5</v>
      </c>
      <c r="M410" t="s">
        <v>825</v>
      </c>
      <c r="N410">
        <v>1</v>
      </c>
    </row>
    <row r="411" spans="1:14" x14ac:dyDescent="0.35">
      <c r="A411">
        <v>399</v>
      </c>
      <c r="B411" t="s">
        <v>826</v>
      </c>
      <c r="C411">
        <v>349</v>
      </c>
      <c r="D411">
        <v>1</v>
      </c>
      <c r="E411" t="s">
        <v>41</v>
      </c>
      <c r="F411">
        <v>2.8</v>
      </c>
      <c r="G411">
        <v>739</v>
      </c>
      <c r="H411">
        <v>25</v>
      </c>
      <c r="I411">
        <v>750</v>
      </c>
      <c r="J411">
        <v>1.47</v>
      </c>
      <c r="K411">
        <v>0.10100000000000001</v>
      </c>
      <c r="L411">
        <v>5.5</v>
      </c>
      <c r="M411" t="s">
        <v>827</v>
      </c>
      <c r="N411">
        <v>1</v>
      </c>
    </row>
    <row r="412" spans="1:14" x14ac:dyDescent="0.35">
      <c r="A412">
        <v>398</v>
      </c>
      <c r="B412" t="s">
        <v>828</v>
      </c>
      <c r="C412">
        <v>348</v>
      </c>
      <c r="D412">
        <v>4</v>
      </c>
      <c r="E412" t="s">
        <v>28</v>
      </c>
      <c r="F412">
        <v>2.2999999999999998</v>
      </c>
      <c r="G412">
        <v>740</v>
      </c>
      <c r="H412">
        <v>25</v>
      </c>
      <c r="I412">
        <v>750</v>
      </c>
      <c r="J412">
        <v>1.33</v>
      </c>
      <c r="K412">
        <v>0.10100000000000001</v>
      </c>
      <c r="L412">
        <v>5.6</v>
      </c>
      <c r="M412" t="s">
        <v>829</v>
      </c>
      <c r="N412">
        <v>1</v>
      </c>
    </row>
    <row r="413" spans="1:14" x14ac:dyDescent="0.35">
      <c r="A413">
        <v>397</v>
      </c>
      <c r="B413" t="s">
        <v>830</v>
      </c>
      <c r="C413">
        <v>347</v>
      </c>
      <c r="D413">
        <v>6</v>
      </c>
      <c r="E413" t="s">
        <v>14</v>
      </c>
      <c r="F413">
        <v>1.3</v>
      </c>
      <c r="G413">
        <v>741</v>
      </c>
      <c r="H413">
        <v>25</v>
      </c>
      <c r="I413">
        <v>750</v>
      </c>
      <c r="J413">
        <v>1.2</v>
      </c>
      <c r="K413">
        <v>0.10100000000000001</v>
      </c>
      <c r="L413">
        <v>5.6</v>
      </c>
      <c r="M413" t="s">
        <v>831</v>
      </c>
      <c r="N413">
        <v>1</v>
      </c>
    </row>
    <row r="414" spans="1:14" x14ac:dyDescent="0.35">
      <c r="A414">
        <v>396</v>
      </c>
      <c r="B414" t="s">
        <v>832</v>
      </c>
      <c r="C414">
        <v>346</v>
      </c>
      <c r="D414">
        <v>11</v>
      </c>
      <c r="E414" t="s">
        <v>23</v>
      </c>
      <c r="F414">
        <v>15</v>
      </c>
      <c r="G414">
        <v>738</v>
      </c>
      <c r="H414">
        <v>25</v>
      </c>
      <c r="I414">
        <v>750</v>
      </c>
      <c r="J414">
        <v>1.6</v>
      </c>
      <c r="K414">
        <v>0.1</v>
      </c>
      <c r="L414">
        <v>5.6</v>
      </c>
      <c r="M414" t="s">
        <v>833</v>
      </c>
      <c r="N414">
        <v>1</v>
      </c>
    </row>
    <row r="415" spans="1:14" x14ac:dyDescent="0.35">
      <c r="A415">
        <v>395</v>
      </c>
      <c r="B415" t="s">
        <v>834</v>
      </c>
      <c r="C415">
        <v>345</v>
      </c>
      <c r="D415">
        <v>11</v>
      </c>
      <c r="E415" t="s">
        <v>23</v>
      </c>
      <c r="F415">
        <v>58.3</v>
      </c>
      <c r="G415">
        <v>739</v>
      </c>
      <c r="H415">
        <v>25</v>
      </c>
      <c r="I415">
        <v>750</v>
      </c>
      <c r="J415">
        <v>1.47</v>
      </c>
      <c r="K415">
        <v>0.10100000000000001</v>
      </c>
      <c r="L415">
        <v>5.6</v>
      </c>
      <c r="M415" t="s">
        <v>835</v>
      </c>
      <c r="N415">
        <v>1</v>
      </c>
    </row>
    <row r="416" spans="1:14" x14ac:dyDescent="0.35">
      <c r="A416">
        <v>394</v>
      </c>
      <c r="B416" t="s">
        <v>836</v>
      </c>
      <c r="C416">
        <v>344</v>
      </c>
      <c r="D416">
        <v>3</v>
      </c>
      <c r="E416" t="s">
        <v>20</v>
      </c>
      <c r="F416">
        <v>1.3</v>
      </c>
      <c r="G416">
        <v>740</v>
      </c>
      <c r="H416">
        <v>25</v>
      </c>
      <c r="I416">
        <v>750</v>
      </c>
      <c r="J416">
        <v>1.33</v>
      </c>
      <c r="K416">
        <v>0.1</v>
      </c>
      <c r="L416">
        <v>5.6</v>
      </c>
      <c r="M416" t="s">
        <v>837</v>
      </c>
      <c r="N416">
        <v>1</v>
      </c>
    </row>
    <row r="417" spans="1:14" x14ac:dyDescent="0.35">
      <c r="A417">
        <v>393</v>
      </c>
      <c r="B417" t="s">
        <v>838</v>
      </c>
      <c r="C417">
        <v>343</v>
      </c>
      <c r="D417">
        <v>6</v>
      </c>
      <c r="E417" t="s">
        <v>14</v>
      </c>
      <c r="F417">
        <v>1.3</v>
      </c>
      <c r="G417">
        <v>740</v>
      </c>
      <c r="H417">
        <v>25</v>
      </c>
      <c r="I417">
        <v>750</v>
      </c>
      <c r="J417">
        <v>1.33</v>
      </c>
      <c r="K417">
        <v>0.10100000000000001</v>
      </c>
      <c r="L417">
        <v>5.6</v>
      </c>
      <c r="M417" t="s">
        <v>839</v>
      </c>
      <c r="N417">
        <v>1</v>
      </c>
    </row>
    <row r="418" spans="1:14" x14ac:dyDescent="0.35">
      <c r="A418">
        <v>392</v>
      </c>
      <c r="B418" t="s">
        <v>840</v>
      </c>
      <c r="C418">
        <v>342</v>
      </c>
      <c r="D418">
        <v>11</v>
      </c>
      <c r="E418" t="s">
        <v>23</v>
      </c>
      <c r="F418">
        <v>15</v>
      </c>
      <c r="G418">
        <v>739</v>
      </c>
      <c r="H418">
        <v>25</v>
      </c>
      <c r="I418">
        <v>750</v>
      </c>
      <c r="J418">
        <v>1.47</v>
      </c>
      <c r="K418">
        <v>0.10100000000000001</v>
      </c>
      <c r="L418">
        <v>5.5</v>
      </c>
      <c r="M418" t="s">
        <v>841</v>
      </c>
      <c r="N418">
        <v>1</v>
      </c>
    </row>
    <row r="419" spans="1:14" x14ac:dyDescent="0.35">
      <c r="A419">
        <v>391</v>
      </c>
      <c r="B419" t="s">
        <v>842</v>
      </c>
      <c r="C419">
        <v>341</v>
      </c>
      <c r="D419">
        <v>11</v>
      </c>
      <c r="E419" t="s">
        <v>23</v>
      </c>
      <c r="F419">
        <v>11.5</v>
      </c>
      <c r="G419">
        <v>741</v>
      </c>
      <c r="H419">
        <v>25</v>
      </c>
      <c r="I419">
        <v>750</v>
      </c>
      <c r="J419">
        <v>1.2</v>
      </c>
      <c r="K419">
        <v>0.10100000000000001</v>
      </c>
      <c r="L419">
        <v>5.5</v>
      </c>
      <c r="M419" t="s">
        <v>843</v>
      </c>
      <c r="N419">
        <v>1</v>
      </c>
    </row>
    <row r="420" spans="1:14" x14ac:dyDescent="0.35">
      <c r="A420">
        <v>390</v>
      </c>
      <c r="B420" t="s">
        <v>844</v>
      </c>
      <c r="C420">
        <v>340</v>
      </c>
      <c r="D420">
        <v>2</v>
      </c>
      <c r="E420" t="s">
        <v>74</v>
      </c>
      <c r="F420">
        <v>1.2</v>
      </c>
      <c r="G420">
        <v>738</v>
      </c>
      <c r="H420">
        <v>25</v>
      </c>
      <c r="I420">
        <v>750</v>
      </c>
      <c r="J420">
        <v>1.6</v>
      </c>
      <c r="K420">
        <v>0.1</v>
      </c>
      <c r="L420">
        <v>5.6</v>
      </c>
      <c r="M420" t="s">
        <v>845</v>
      </c>
      <c r="N420">
        <v>1</v>
      </c>
    </row>
    <row r="421" spans="1:14" x14ac:dyDescent="0.35">
      <c r="A421">
        <v>389</v>
      </c>
      <c r="B421" t="s">
        <v>846</v>
      </c>
      <c r="C421">
        <v>339</v>
      </c>
      <c r="D421">
        <v>9</v>
      </c>
      <c r="E421" t="s">
        <v>44</v>
      </c>
      <c r="F421">
        <v>1.3</v>
      </c>
      <c r="G421">
        <v>737</v>
      </c>
      <c r="H421">
        <v>25</v>
      </c>
      <c r="I421">
        <v>750</v>
      </c>
      <c r="J421">
        <v>1.73</v>
      </c>
      <c r="K421">
        <v>0.1</v>
      </c>
      <c r="L421">
        <v>5.6</v>
      </c>
      <c r="M421" t="s">
        <v>847</v>
      </c>
      <c r="N421">
        <v>1</v>
      </c>
    </row>
    <row r="422" spans="1:14" x14ac:dyDescent="0.35">
      <c r="A422">
        <v>388</v>
      </c>
      <c r="B422" t="s">
        <v>848</v>
      </c>
      <c r="C422">
        <v>338</v>
      </c>
      <c r="D422">
        <v>4</v>
      </c>
      <c r="E422" t="s">
        <v>28</v>
      </c>
      <c r="F422">
        <v>2.2999999999999998</v>
      </c>
      <c r="G422">
        <v>739</v>
      </c>
      <c r="H422">
        <v>25</v>
      </c>
      <c r="I422">
        <v>750</v>
      </c>
      <c r="J422">
        <v>1.47</v>
      </c>
      <c r="K422">
        <v>0.10100000000000001</v>
      </c>
      <c r="L422">
        <v>5.6</v>
      </c>
      <c r="M422" t="s">
        <v>849</v>
      </c>
      <c r="N422">
        <v>1</v>
      </c>
    </row>
    <row r="423" spans="1:14" x14ac:dyDescent="0.35">
      <c r="A423">
        <v>387</v>
      </c>
      <c r="B423" t="s">
        <v>850</v>
      </c>
      <c r="C423">
        <v>337</v>
      </c>
      <c r="D423">
        <v>11</v>
      </c>
      <c r="E423" t="s">
        <v>23</v>
      </c>
      <c r="F423">
        <v>19.7</v>
      </c>
      <c r="G423">
        <v>739</v>
      </c>
      <c r="H423">
        <v>25</v>
      </c>
      <c r="I423">
        <v>750</v>
      </c>
      <c r="J423">
        <v>1.47</v>
      </c>
      <c r="K423">
        <v>0.10100000000000001</v>
      </c>
      <c r="L423">
        <v>5.6</v>
      </c>
      <c r="M423" t="s">
        <v>851</v>
      </c>
      <c r="N423">
        <v>1</v>
      </c>
    </row>
    <row r="424" spans="1:14" x14ac:dyDescent="0.35">
      <c r="A424">
        <v>386</v>
      </c>
      <c r="B424" t="s">
        <v>852</v>
      </c>
      <c r="C424">
        <v>336</v>
      </c>
      <c r="D424">
        <v>8</v>
      </c>
      <c r="E424" t="s">
        <v>38</v>
      </c>
      <c r="F424">
        <v>2.2000000000000002</v>
      </c>
      <c r="G424">
        <v>739</v>
      </c>
      <c r="H424">
        <v>25</v>
      </c>
      <c r="I424">
        <v>750</v>
      </c>
      <c r="J424">
        <v>1.47</v>
      </c>
      <c r="K424">
        <v>0.10100000000000001</v>
      </c>
      <c r="L424">
        <v>5.6</v>
      </c>
      <c r="M424" t="s">
        <v>853</v>
      </c>
      <c r="N424">
        <v>1</v>
      </c>
    </row>
    <row r="425" spans="1:14" x14ac:dyDescent="0.35">
      <c r="A425">
        <v>385</v>
      </c>
      <c r="B425" t="s">
        <v>854</v>
      </c>
      <c r="C425">
        <v>335</v>
      </c>
      <c r="D425">
        <v>7</v>
      </c>
      <c r="E425" t="s">
        <v>17</v>
      </c>
      <c r="F425">
        <v>3</v>
      </c>
      <c r="G425">
        <v>739</v>
      </c>
      <c r="H425">
        <v>25</v>
      </c>
      <c r="I425">
        <v>750</v>
      </c>
      <c r="J425">
        <v>1.47</v>
      </c>
      <c r="K425">
        <v>0.10100000000000001</v>
      </c>
      <c r="L425">
        <v>5.5</v>
      </c>
      <c r="M425" t="s">
        <v>855</v>
      </c>
      <c r="N425">
        <v>1</v>
      </c>
    </row>
    <row r="426" spans="1:14" x14ac:dyDescent="0.35">
      <c r="A426">
        <v>384</v>
      </c>
      <c r="B426" t="s">
        <v>856</v>
      </c>
      <c r="C426">
        <v>334</v>
      </c>
      <c r="D426">
        <v>11</v>
      </c>
      <c r="E426" t="s">
        <v>23</v>
      </c>
      <c r="F426">
        <v>15.1</v>
      </c>
      <c r="G426">
        <v>738</v>
      </c>
      <c r="H426">
        <v>25</v>
      </c>
      <c r="I426">
        <v>750</v>
      </c>
      <c r="J426">
        <v>1.6</v>
      </c>
      <c r="K426">
        <v>0.1</v>
      </c>
      <c r="L426">
        <v>5.6</v>
      </c>
      <c r="M426" t="s">
        <v>857</v>
      </c>
      <c r="N426">
        <v>1</v>
      </c>
    </row>
    <row r="427" spans="1:14" x14ac:dyDescent="0.35">
      <c r="A427">
        <v>383</v>
      </c>
      <c r="B427" t="s">
        <v>858</v>
      </c>
      <c r="C427">
        <v>333</v>
      </c>
      <c r="D427">
        <v>11</v>
      </c>
      <c r="E427" t="s">
        <v>23</v>
      </c>
      <c r="F427">
        <v>26.3</v>
      </c>
      <c r="G427">
        <v>739</v>
      </c>
      <c r="H427">
        <v>25</v>
      </c>
      <c r="I427">
        <v>750</v>
      </c>
      <c r="J427">
        <v>1.47</v>
      </c>
      <c r="K427">
        <v>0.10100000000000001</v>
      </c>
      <c r="L427">
        <v>5.6</v>
      </c>
      <c r="M427" t="s">
        <v>859</v>
      </c>
      <c r="N427">
        <v>1</v>
      </c>
    </row>
    <row r="428" spans="1:14" x14ac:dyDescent="0.35">
      <c r="A428">
        <v>382</v>
      </c>
      <c r="B428" t="s">
        <v>860</v>
      </c>
      <c r="C428">
        <v>332</v>
      </c>
      <c r="D428">
        <v>11</v>
      </c>
      <c r="E428" t="s">
        <v>23</v>
      </c>
      <c r="F428">
        <v>19.7</v>
      </c>
      <c r="G428">
        <v>739</v>
      </c>
      <c r="H428">
        <v>25</v>
      </c>
      <c r="I428">
        <v>750</v>
      </c>
      <c r="J428">
        <v>1.47</v>
      </c>
      <c r="K428">
        <v>0.10100000000000001</v>
      </c>
      <c r="L428">
        <v>5.6</v>
      </c>
      <c r="M428" t="s">
        <v>861</v>
      </c>
      <c r="N428">
        <v>1</v>
      </c>
    </row>
    <row r="429" spans="1:14" x14ac:dyDescent="0.35">
      <c r="A429">
        <v>381</v>
      </c>
      <c r="B429" t="s">
        <v>862</v>
      </c>
      <c r="C429">
        <v>331</v>
      </c>
      <c r="D429">
        <v>9</v>
      </c>
      <c r="E429" t="s">
        <v>44</v>
      </c>
      <c r="F429">
        <v>1.3</v>
      </c>
      <c r="G429">
        <v>739</v>
      </c>
      <c r="H429">
        <v>25</v>
      </c>
      <c r="I429">
        <v>750</v>
      </c>
      <c r="J429">
        <v>1.47</v>
      </c>
      <c r="K429">
        <v>0.10100000000000001</v>
      </c>
      <c r="L429">
        <v>5.6</v>
      </c>
      <c r="M429" t="s">
        <v>863</v>
      </c>
      <c r="N429">
        <v>1</v>
      </c>
    </row>
    <row r="430" spans="1:14" x14ac:dyDescent="0.35">
      <c r="A430">
        <v>380</v>
      </c>
      <c r="B430" t="s">
        <v>864</v>
      </c>
      <c r="C430">
        <v>330</v>
      </c>
      <c r="D430">
        <v>5</v>
      </c>
      <c r="E430" t="s">
        <v>35</v>
      </c>
      <c r="F430">
        <v>1.2</v>
      </c>
      <c r="G430">
        <v>739</v>
      </c>
      <c r="H430">
        <v>25</v>
      </c>
      <c r="I430">
        <v>750</v>
      </c>
      <c r="J430">
        <v>1.47</v>
      </c>
      <c r="K430">
        <v>0.10100000000000001</v>
      </c>
      <c r="L430">
        <v>5.6</v>
      </c>
      <c r="M430" t="s">
        <v>865</v>
      </c>
      <c r="N430">
        <v>1</v>
      </c>
    </row>
    <row r="431" spans="1:14" x14ac:dyDescent="0.35">
      <c r="A431">
        <v>379</v>
      </c>
      <c r="B431" t="s">
        <v>866</v>
      </c>
      <c r="C431">
        <v>329</v>
      </c>
      <c r="D431">
        <v>11</v>
      </c>
      <c r="E431" t="s">
        <v>23</v>
      </c>
      <c r="F431">
        <v>14.8</v>
      </c>
      <c r="G431">
        <v>738</v>
      </c>
      <c r="H431">
        <v>25</v>
      </c>
      <c r="I431">
        <v>750</v>
      </c>
      <c r="J431">
        <v>1.6</v>
      </c>
      <c r="K431">
        <v>0.1</v>
      </c>
      <c r="L431">
        <v>5.6</v>
      </c>
      <c r="M431" t="s">
        <v>867</v>
      </c>
      <c r="N431">
        <v>1</v>
      </c>
    </row>
    <row r="432" spans="1:14" x14ac:dyDescent="0.35">
      <c r="A432">
        <v>378</v>
      </c>
      <c r="B432" t="s">
        <v>868</v>
      </c>
      <c r="C432">
        <v>328</v>
      </c>
      <c r="D432">
        <v>1</v>
      </c>
      <c r="E432" t="s">
        <v>41</v>
      </c>
      <c r="F432">
        <v>2.9</v>
      </c>
      <c r="G432">
        <v>739</v>
      </c>
      <c r="H432">
        <v>25</v>
      </c>
      <c r="I432">
        <v>750</v>
      </c>
      <c r="J432">
        <v>1.47</v>
      </c>
      <c r="K432">
        <v>0.10100000000000001</v>
      </c>
      <c r="L432">
        <v>5.6</v>
      </c>
      <c r="M432" t="s">
        <v>869</v>
      </c>
      <c r="N432">
        <v>1</v>
      </c>
    </row>
    <row r="433" spans="1:14" x14ac:dyDescent="0.35">
      <c r="A433">
        <v>377</v>
      </c>
      <c r="B433" t="s">
        <v>870</v>
      </c>
      <c r="C433">
        <v>327</v>
      </c>
      <c r="D433">
        <v>11</v>
      </c>
      <c r="E433" t="s">
        <v>23</v>
      </c>
      <c r="F433">
        <v>21.6</v>
      </c>
      <c r="G433">
        <v>741</v>
      </c>
      <c r="H433">
        <v>25</v>
      </c>
      <c r="I433">
        <v>750</v>
      </c>
      <c r="J433">
        <v>1.2</v>
      </c>
      <c r="K433">
        <v>0.10100000000000001</v>
      </c>
      <c r="L433">
        <v>5.5</v>
      </c>
      <c r="M433" t="s">
        <v>871</v>
      </c>
      <c r="N433">
        <v>1</v>
      </c>
    </row>
    <row r="434" spans="1:14" x14ac:dyDescent="0.35">
      <c r="A434">
        <v>376</v>
      </c>
      <c r="B434" t="s">
        <v>872</v>
      </c>
      <c r="C434">
        <v>326</v>
      </c>
      <c r="D434">
        <v>9</v>
      </c>
      <c r="E434" t="s">
        <v>44</v>
      </c>
      <c r="F434">
        <v>1.4</v>
      </c>
      <c r="G434">
        <v>739</v>
      </c>
      <c r="H434">
        <v>25</v>
      </c>
      <c r="I434">
        <v>750</v>
      </c>
      <c r="J434">
        <v>1.47</v>
      </c>
      <c r="K434">
        <v>0.10100000000000001</v>
      </c>
      <c r="L434">
        <v>5.6</v>
      </c>
      <c r="M434" t="s">
        <v>873</v>
      </c>
      <c r="N434">
        <v>1</v>
      </c>
    </row>
    <row r="435" spans="1:14" x14ac:dyDescent="0.35">
      <c r="A435">
        <v>375</v>
      </c>
      <c r="B435" t="s">
        <v>874</v>
      </c>
      <c r="C435">
        <v>325</v>
      </c>
      <c r="D435">
        <v>11</v>
      </c>
      <c r="E435" t="s">
        <v>23</v>
      </c>
      <c r="F435">
        <v>14.6</v>
      </c>
      <c r="G435">
        <v>739</v>
      </c>
      <c r="H435">
        <v>25</v>
      </c>
      <c r="I435">
        <v>750</v>
      </c>
      <c r="J435">
        <v>1.47</v>
      </c>
      <c r="K435">
        <v>0.10100000000000001</v>
      </c>
      <c r="L435">
        <v>5.6</v>
      </c>
      <c r="M435" t="s">
        <v>875</v>
      </c>
      <c r="N435">
        <v>1</v>
      </c>
    </row>
    <row r="436" spans="1:14" x14ac:dyDescent="0.35">
      <c r="A436">
        <v>374</v>
      </c>
      <c r="B436" t="s">
        <v>876</v>
      </c>
      <c r="C436" s="3">
        <v>324</v>
      </c>
      <c r="D436">
        <v>3</v>
      </c>
      <c r="E436" t="s">
        <v>20</v>
      </c>
      <c r="F436">
        <v>3.5</v>
      </c>
      <c r="G436">
        <v>736</v>
      </c>
      <c r="H436">
        <v>25</v>
      </c>
      <c r="I436">
        <v>750</v>
      </c>
      <c r="J436">
        <v>1.87</v>
      </c>
      <c r="K436">
        <v>0.1</v>
      </c>
      <c r="L436">
        <v>5.6</v>
      </c>
      <c r="M436" t="s">
        <v>877</v>
      </c>
      <c r="N436">
        <v>0</v>
      </c>
    </row>
    <row r="437" spans="1:14" x14ac:dyDescent="0.35">
      <c r="A437">
        <v>373</v>
      </c>
      <c r="B437" t="s">
        <v>878</v>
      </c>
      <c r="C437">
        <v>323</v>
      </c>
      <c r="D437">
        <v>2</v>
      </c>
      <c r="E437" t="s">
        <v>74</v>
      </c>
      <c r="F437">
        <v>1.3</v>
      </c>
      <c r="G437">
        <v>740</v>
      </c>
      <c r="H437">
        <v>25</v>
      </c>
      <c r="I437">
        <v>750</v>
      </c>
      <c r="J437">
        <v>1.33</v>
      </c>
      <c r="K437">
        <v>0.10100000000000001</v>
      </c>
      <c r="L437">
        <v>5.6</v>
      </c>
      <c r="M437" t="s">
        <v>879</v>
      </c>
      <c r="N437">
        <v>1</v>
      </c>
    </row>
    <row r="438" spans="1:14" x14ac:dyDescent="0.35">
      <c r="A438">
        <v>372</v>
      </c>
      <c r="B438" t="s">
        <v>880</v>
      </c>
      <c r="C438">
        <v>322</v>
      </c>
      <c r="D438">
        <v>9</v>
      </c>
      <c r="E438" t="s">
        <v>44</v>
      </c>
      <c r="F438">
        <v>1.3</v>
      </c>
      <c r="G438">
        <v>739</v>
      </c>
      <c r="H438">
        <v>25</v>
      </c>
      <c r="I438">
        <v>750</v>
      </c>
      <c r="J438">
        <v>1.47</v>
      </c>
      <c r="K438">
        <v>0.10100000000000001</v>
      </c>
      <c r="L438">
        <v>5.6</v>
      </c>
      <c r="M438" t="s">
        <v>881</v>
      </c>
      <c r="N438">
        <v>1</v>
      </c>
    </row>
    <row r="439" spans="1:14" x14ac:dyDescent="0.35">
      <c r="A439">
        <v>371</v>
      </c>
      <c r="B439" t="s">
        <v>882</v>
      </c>
      <c r="C439">
        <v>321</v>
      </c>
      <c r="D439">
        <v>11</v>
      </c>
      <c r="E439" t="s">
        <v>23</v>
      </c>
      <c r="F439">
        <v>14.8</v>
      </c>
      <c r="G439">
        <v>738</v>
      </c>
      <c r="H439">
        <v>25</v>
      </c>
      <c r="I439">
        <v>750</v>
      </c>
      <c r="J439">
        <v>1.6</v>
      </c>
      <c r="K439">
        <v>0.1</v>
      </c>
      <c r="L439">
        <v>5.6</v>
      </c>
      <c r="M439" t="s">
        <v>883</v>
      </c>
      <c r="N439">
        <v>1</v>
      </c>
    </row>
    <row r="440" spans="1:14" x14ac:dyDescent="0.35">
      <c r="A440">
        <v>370</v>
      </c>
      <c r="B440" t="s">
        <v>884</v>
      </c>
      <c r="C440">
        <v>320</v>
      </c>
      <c r="D440">
        <v>11</v>
      </c>
      <c r="E440" t="s">
        <v>23</v>
      </c>
      <c r="F440">
        <v>19.100000000000001</v>
      </c>
      <c r="G440">
        <v>738</v>
      </c>
      <c r="H440">
        <v>25</v>
      </c>
      <c r="I440">
        <v>750</v>
      </c>
      <c r="J440">
        <v>1.6</v>
      </c>
      <c r="K440">
        <v>0.1</v>
      </c>
      <c r="L440">
        <v>5.5</v>
      </c>
      <c r="M440" t="s">
        <v>885</v>
      </c>
      <c r="N440">
        <v>1</v>
      </c>
    </row>
    <row r="441" spans="1:14" x14ac:dyDescent="0.35">
      <c r="A441">
        <v>369</v>
      </c>
      <c r="B441" t="s">
        <v>886</v>
      </c>
      <c r="C441">
        <v>319</v>
      </c>
      <c r="D441">
        <v>7</v>
      </c>
      <c r="E441" t="s">
        <v>17</v>
      </c>
      <c r="F441">
        <v>2.9</v>
      </c>
      <c r="G441">
        <v>738</v>
      </c>
      <c r="H441">
        <v>25</v>
      </c>
      <c r="I441">
        <v>750</v>
      </c>
      <c r="J441">
        <v>1.6</v>
      </c>
      <c r="K441">
        <v>0.1</v>
      </c>
      <c r="L441">
        <v>5.5</v>
      </c>
      <c r="M441" t="s">
        <v>887</v>
      </c>
      <c r="N441">
        <v>1</v>
      </c>
    </row>
    <row r="442" spans="1:14" x14ac:dyDescent="0.35">
      <c r="A442">
        <v>368</v>
      </c>
      <c r="B442" t="s">
        <v>888</v>
      </c>
      <c r="C442">
        <v>318</v>
      </c>
      <c r="D442">
        <v>5</v>
      </c>
      <c r="E442" t="s">
        <v>35</v>
      </c>
      <c r="F442">
        <v>1.2</v>
      </c>
      <c r="G442">
        <v>739</v>
      </c>
      <c r="H442">
        <v>25</v>
      </c>
      <c r="I442">
        <v>750</v>
      </c>
      <c r="J442">
        <v>1.47</v>
      </c>
      <c r="K442">
        <v>0.10100000000000001</v>
      </c>
      <c r="L442">
        <v>5.6</v>
      </c>
      <c r="M442" t="s">
        <v>889</v>
      </c>
      <c r="N442">
        <v>1</v>
      </c>
    </row>
    <row r="443" spans="1:14" x14ac:dyDescent="0.35">
      <c r="A443">
        <v>367</v>
      </c>
      <c r="B443" t="s">
        <v>890</v>
      </c>
      <c r="C443">
        <v>317</v>
      </c>
      <c r="D443">
        <v>8</v>
      </c>
      <c r="E443" t="s">
        <v>38</v>
      </c>
      <c r="F443">
        <v>2.2000000000000002</v>
      </c>
      <c r="G443">
        <v>738</v>
      </c>
      <c r="H443">
        <v>25</v>
      </c>
      <c r="I443">
        <v>750</v>
      </c>
      <c r="J443">
        <v>1.6</v>
      </c>
      <c r="K443">
        <v>0.1</v>
      </c>
      <c r="L443">
        <v>5.6</v>
      </c>
      <c r="M443" t="s">
        <v>891</v>
      </c>
      <c r="N443">
        <v>1</v>
      </c>
    </row>
    <row r="444" spans="1:14" x14ac:dyDescent="0.35">
      <c r="A444">
        <v>366</v>
      </c>
      <c r="B444" t="s">
        <v>892</v>
      </c>
      <c r="C444">
        <v>316</v>
      </c>
      <c r="D444">
        <v>11</v>
      </c>
      <c r="E444" t="s">
        <v>23</v>
      </c>
      <c r="F444">
        <v>12.1</v>
      </c>
      <c r="G444">
        <v>738</v>
      </c>
      <c r="H444">
        <v>25</v>
      </c>
      <c r="I444">
        <v>750</v>
      </c>
      <c r="J444">
        <v>1.6</v>
      </c>
      <c r="K444">
        <v>0.1</v>
      </c>
      <c r="L444">
        <v>5.6</v>
      </c>
      <c r="M444" t="s">
        <v>893</v>
      </c>
      <c r="N444">
        <v>1</v>
      </c>
    </row>
    <row r="445" spans="1:14" x14ac:dyDescent="0.35">
      <c r="A445">
        <v>365</v>
      </c>
      <c r="B445" t="s">
        <v>894</v>
      </c>
      <c r="C445">
        <v>315</v>
      </c>
      <c r="D445">
        <v>1</v>
      </c>
      <c r="E445" t="s">
        <v>41</v>
      </c>
      <c r="F445">
        <v>2.9</v>
      </c>
      <c r="G445">
        <v>739</v>
      </c>
      <c r="H445">
        <v>25</v>
      </c>
      <c r="I445">
        <v>750</v>
      </c>
      <c r="J445">
        <v>1.47</v>
      </c>
      <c r="K445">
        <v>0.10100000000000001</v>
      </c>
      <c r="L445">
        <v>5.6</v>
      </c>
      <c r="M445" t="s">
        <v>895</v>
      </c>
      <c r="N445">
        <v>1</v>
      </c>
    </row>
    <row r="446" spans="1:14" x14ac:dyDescent="0.35">
      <c r="A446">
        <v>364</v>
      </c>
      <c r="B446" t="s">
        <v>896</v>
      </c>
      <c r="C446">
        <v>314</v>
      </c>
      <c r="D446">
        <v>3</v>
      </c>
      <c r="E446" t="s">
        <v>20</v>
      </c>
      <c r="F446">
        <v>1.4</v>
      </c>
      <c r="G446">
        <v>738</v>
      </c>
      <c r="H446">
        <v>25</v>
      </c>
      <c r="I446">
        <v>750</v>
      </c>
      <c r="J446">
        <v>1.6</v>
      </c>
      <c r="K446">
        <v>0.1</v>
      </c>
      <c r="L446">
        <v>5.6</v>
      </c>
      <c r="M446" t="s">
        <v>897</v>
      </c>
      <c r="N446">
        <v>1</v>
      </c>
    </row>
    <row r="447" spans="1:14" x14ac:dyDescent="0.35">
      <c r="A447">
        <v>363</v>
      </c>
      <c r="B447" t="s">
        <v>898</v>
      </c>
      <c r="C447">
        <v>313</v>
      </c>
      <c r="D447">
        <v>9</v>
      </c>
      <c r="E447" t="s">
        <v>44</v>
      </c>
      <c r="F447">
        <v>1.1000000000000001</v>
      </c>
      <c r="G447">
        <v>738</v>
      </c>
      <c r="H447">
        <v>25</v>
      </c>
      <c r="I447">
        <v>750</v>
      </c>
      <c r="J447">
        <v>1.6</v>
      </c>
      <c r="K447">
        <v>0.1</v>
      </c>
      <c r="L447">
        <v>5.5</v>
      </c>
      <c r="M447" t="s">
        <v>899</v>
      </c>
      <c r="N447">
        <v>1</v>
      </c>
    </row>
    <row r="448" spans="1:14" x14ac:dyDescent="0.35">
      <c r="A448">
        <v>362</v>
      </c>
      <c r="B448" t="s">
        <v>900</v>
      </c>
      <c r="C448">
        <v>312</v>
      </c>
      <c r="D448">
        <v>11</v>
      </c>
      <c r="E448" t="s">
        <v>23</v>
      </c>
      <c r="F448">
        <v>12.6</v>
      </c>
      <c r="G448">
        <v>739</v>
      </c>
      <c r="H448">
        <v>25</v>
      </c>
      <c r="I448">
        <v>750</v>
      </c>
      <c r="J448">
        <v>1.47</v>
      </c>
      <c r="K448">
        <v>0.10100000000000001</v>
      </c>
      <c r="L448">
        <v>5.6</v>
      </c>
      <c r="M448" t="s">
        <v>901</v>
      </c>
      <c r="N448">
        <v>1</v>
      </c>
    </row>
    <row r="449" spans="1:14" x14ac:dyDescent="0.35">
      <c r="A449">
        <v>361</v>
      </c>
      <c r="B449" t="s">
        <v>902</v>
      </c>
      <c r="C449">
        <v>311</v>
      </c>
      <c r="D449">
        <v>7</v>
      </c>
      <c r="E449" t="s">
        <v>17</v>
      </c>
      <c r="F449">
        <v>2.9</v>
      </c>
      <c r="G449">
        <v>740</v>
      </c>
      <c r="H449">
        <v>25</v>
      </c>
      <c r="I449">
        <v>750</v>
      </c>
      <c r="J449">
        <v>1.33</v>
      </c>
      <c r="K449">
        <v>0.10100000000000001</v>
      </c>
      <c r="L449">
        <v>5.6</v>
      </c>
      <c r="M449" t="s">
        <v>903</v>
      </c>
      <c r="N449">
        <v>1</v>
      </c>
    </row>
    <row r="450" spans="1:14" x14ac:dyDescent="0.35">
      <c r="A450">
        <v>360</v>
      </c>
      <c r="B450" t="s">
        <v>904</v>
      </c>
      <c r="C450">
        <v>310</v>
      </c>
      <c r="D450">
        <v>6</v>
      </c>
      <c r="E450" t="s">
        <v>14</v>
      </c>
      <c r="F450">
        <v>1.3</v>
      </c>
      <c r="G450">
        <v>738</v>
      </c>
      <c r="H450">
        <v>25</v>
      </c>
      <c r="I450">
        <v>750</v>
      </c>
      <c r="J450">
        <v>1.6</v>
      </c>
      <c r="K450">
        <v>0.1</v>
      </c>
      <c r="L450">
        <v>5.6</v>
      </c>
      <c r="M450" t="s">
        <v>905</v>
      </c>
      <c r="N450">
        <v>1</v>
      </c>
    </row>
    <row r="451" spans="1:14" x14ac:dyDescent="0.35">
      <c r="A451">
        <v>359</v>
      </c>
      <c r="B451" t="s">
        <v>906</v>
      </c>
      <c r="C451">
        <v>309</v>
      </c>
      <c r="D451">
        <v>8</v>
      </c>
      <c r="E451" t="s">
        <v>38</v>
      </c>
      <c r="F451">
        <v>2.4</v>
      </c>
      <c r="G451">
        <v>738</v>
      </c>
      <c r="H451">
        <v>25</v>
      </c>
      <c r="I451">
        <v>750</v>
      </c>
      <c r="J451">
        <v>1.6</v>
      </c>
      <c r="K451">
        <v>0.1</v>
      </c>
      <c r="L451">
        <v>5.5</v>
      </c>
      <c r="M451" t="s">
        <v>907</v>
      </c>
      <c r="N451">
        <v>1</v>
      </c>
    </row>
    <row r="452" spans="1:14" x14ac:dyDescent="0.35">
      <c r="A452">
        <v>358</v>
      </c>
      <c r="B452" t="s">
        <v>908</v>
      </c>
      <c r="C452">
        <v>308</v>
      </c>
      <c r="D452">
        <v>11</v>
      </c>
      <c r="E452" t="s">
        <v>23</v>
      </c>
      <c r="F452">
        <v>19</v>
      </c>
      <c r="G452">
        <v>738</v>
      </c>
      <c r="H452">
        <v>25</v>
      </c>
      <c r="I452">
        <v>750</v>
      </c>
      <c r="J452">
        <v>1.6</v>
      </c>
      <c r="K452">
        <v>0.1</v>
      </c>
      <c r="L452">
        <v>5.6</v>
      </c>
      <c r="M452" t="s">
        <v>909</v>
      </c>
      <c r="N452">
        <v>1</v>
      </c>
    </row>
    <row r="453" spans="1:14" x14ac:dyDescent="0.35">
      <c r="A453">
        <v>357</v>
      </c>
      <c r="B453" t="s">
        <v>910</v>
      </c>
      <c r="C453">
        <v>307</v>
      </c>
      <c r="D453">
        <v>1</v>
      </c>
      <c r="E453" t="s">
        <v>41</v>
      </c>
      <c r="F453">
        <v>2.8</v>
      </c>
      <c r="G453">
        <v>738</v>
      </c>
      <c r="H453">
        <v>25</v>
      </c>
      <c r="I453">
        <v>750</v>
      </c>
      <c r="J453">
        <v>1.6</v>
      </c>
      <c r="K453">
        <v>0.1</v>
      </c>
      <c r="L453">
        <v>5.6</v>
      </c>
      <c r="M453" t="s">
        <v>911</v>
      </c>
      <c r="N453">
        <v>1</v>
      </c>
    </row>
    <row r="454" spans="1:14" x14ac:dyDescent="0.35">
      <c r="A454">
        <v>356</v>
      </c>
      <c r="B454" t="s">
        <v>912</v>
      </c>
      <c r="C454">
        <v>306</v>
      </c>
      <c r="D454">
        <v>9</v>
      </c>
      <c r="E454" t="s">
        <v>44</v>
      </c>
      <c r="F454">
        <v>1.1000000000000001</v>
      </c>
      <c r="G454">
        <v>738</v>
      </c>
      <c r="H454">
        <v>25</v>
      </c>
      <c r="I454">
        <v>750</v>
      </c>
      <c r="J454">
        <v>1.6</v>
      </c>
      <c r="K454">
        <v>0.1</v>
      </c>
      <c r="L454">
        <v>5.6</v>
      </c>
      <c r="M454" t="s">
        <v>913</v>
      </c>
      <c r="N454">
        <v>1</v>
      </c>
    </row>
    <row r="455" spans="1:14" x14ac:dyDescent="0.35">
      <c r="A455">
        <v>355</v>
      </c>
      <c r="B455" t="s">
        <v>914</v>
      </c>
      <c r="C455">
        <v>305</v>
      </c>
      <c r="D455">
        <v>11</v>
      </c>
      <c r="E455" t="s">
        <v>23</v>
      </c>
      <c r="F455">
        <v>18.8</v>
      </c>
      <c r="G455">
        <v>737</v>
      </c>
      <c r="H455">
        <v>25</v>
      </c>
      <c r="I455">
        <v>750</v>
      </c>
      <c r="J455">
        <v>1.73</v>
      </c>
      <c r="K455">
        <v>0.1</v>
      </c>
      <c r="L455">
        <v>5.6</v>
      </c>
      <c r="M455" t="s">
        <v>915</v>
      </c>
      <c r="N455">
        <v>1</v>
      </c>
    </row>
    <row r="456" spans="1:14" x14ac:dyDescent="0.35">
      <c r="A456">
        <v>354</v>
      </c>
      <c r="B456" t="s">
        <v>916</v>
      </c>
      <c r="C456" s="3">
        <v>304</v>
      </c>
      <c r="D456">
        <v>3</v>
      </c>
      <c r="E456" t="s">
        <v>20</v>
      </c>
      <c r="F456">
        <v>4.7</v>
      </c>
      <c r="G456">
        <v>739</v>
      </c>
      <c r="H456">
        <v>25</v>
      </c>
      <c r="I456">
        <v>750</v>
      </c>
      <c r="J456">
        <v>1.47</v>
      </c>
      <c r="K456">
        <v>0.10100000000000001</v>
      </c>
      <c r="L456">
        <v>5.6</v>
      </c>
      <c r="M456" t="s">
        <v>917</v>
      </c>
      <c r="N456">
        <v>0</v>
      </c>
    </row>
    <row r="457" spans="1:14" x14ac:dyDescent="0.35">
      <c r="A457">
        <v>353</v>
      </c>
      <c r="B457" t="s">
        <v>918</v>
      </c>
      <c r="C457">
        <v>303</v>
      </c>
      <c r="D457">
        <v>11</v>
      </c>
      <c r="E457" t="s">
        <v>23</v>
      </c>
      <c r="F457">
        <v>21.5</v>
      </c>
      <c r="G457">
        <v>739</v>
      </c>
      <c r="H457">
        <v>25</v>
      </c>
      <c r="I457">
        <v>750</v>
      </c>
      <c r="J457">
        <v>1.47</v>
      </c>
      <c r="K457">
        <v>0.10100000000000001</v>
      </c>
      <c r="L457">
        <v>5.5</v>
      </c>
      <c r="M457" t="s">
        <v>919</v>
      </c>
      <c r="N457">
        <v>1</v>
      </c>
    </row>
    <row r="458" spans="1:14" x14ac:dyDescent="0.35">
      <c r="A458">
        <v>352</v>
      </c>
      <c r="B458" t="s">
        <v>920</v>
      </c>
      <c r="C458">
        <v>302</v>
      </c>
      <c r="D458">
        <v>7</v>
      </c>
      <c r="E458" t="s">
        <v>17</v>
      </c>
      <c r="F458">
        <v>2.9</v>
      </c>
      <c r="G458">
        <v>739</v>
      </c>
      <c r="H458">
        <v>25</v>
      </c>
      <c r="I458">
        <v>750</v>
      </c>
      <c r="J458">
        <v>1.47</v>
      </c>
      <c r="K458">
        <v>0.10100000000000001</v>
      </c>
      <c r="L458">
        <v>5.6</v>
      </c>
      <c r="M458" t="s">
        <v>921</v>
      </c>
      <c r="N458">
        <v>1</v>
      </c>
    </row>
    <row r="459" spans="1:14" x14ac:dyDescent="0.35">
      <c r="A459">
        <v>351</v>
      </c>
      <c r="B459" t="s">
        <v>922</v>
      </c>
      <c r="C459">
        <v>301</v>
      </c>
      <c r="D459">
        <v>3</v>
      </c>
      <c r="E459" t="s">
        <v>20</v>
      </c>
      <c r="F459">
        <v>1.1000000000000001</v>
      </c>
      <c r="G459">
        <v>738</v>
      </c>
      <c r="H459">
        <v>25</v>
      </c>
      <c r="I459">
        <v>750</v>
      </c>
      <c r="J459">
        <v>1.6</v>
      </c>
      <c r="K459">
        <v>0.1</v>
      </c>
      <c r="L459">
        <v>5.6</v>
      </c>
      <c r="M459" t="s">
        <v>923</v>
      </c>
      <c r="N459">
        <v>1</v>
      </c>
    </row>
    <row r="460" spans="1:14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x14ac:dyDescent="0.35">
      <c r="A461">
        <v>350</v>
      </c>
      <c r="B461" t="s">
        <v>924</v>
      </c>
      <c r="C461">
        <v>300</v>
      </c>
      <c r="D461">
        <v>9</v>
      </c>
      <c r="E461" t="s">
        <v>44</v>
      </c>
      <c r="F461">
        <v>0.9</v>
      </c>
      <c r="G461">
        <v>589</v>
      </c>
      <c r="H461">
        <v>20</v>
      </c>
      <c r="I461">
        <v>600</v>
      </c>
      <c r="J461">
        <v>1.83</v>
      </c>
      <c r="K461">
        <v>0.08</v>
      </c>
      <c r="L461">
        <v>7.1</v>
      </c>
      <c r="M461" t="s">
        <v>925</v>
      </c>
      <c r="N461">
        <v>1</v>
      </c>
    </row>
    <row r="462" spans="1:14" x14ac:dyDescent="0.35">
      <c r="A462">
        <v>349</v>
      </c>
      <c r="B462" t="s">
        <v>926</v>
      </c>
      <c r="C462">
        <v>299</v>
      </c>
      <c r="D462">
        <v>2</v>
      </c>
      <c r="E462" t="s">
        <v>74</v>
      </c>
      <c r="F462">
        <v>1.4</v>
      </c>
      <c r="G462">
        <v>587</v>
      </c>
      <c r="H462">
        <v>20</v>
      </c>
      <c r="I462">
        <v>600</v>
      </c>
      <c r="J462">
        <v>2.17</v>
      </c>
      <c r="K462">
        <v>0.08</v>
      </c>
      <c r="L462">
        <v>7</v>
      </c>
      <c r="M462" t="s">
        <v>927</v>
      </c>
      <c r="N462">
        <v>1</v>
      </c>
    </row>
    <row r="463" spans="1:14" x14ac:dyDescent="0.35">
      <c r="A463">
        <v>348</v>
      </c>
      <c r="B463" t="s">
        <v>928</v>
      </c>
      <c r="C463">
        <v>298</v>
      </c>
      <c r="D463">
        <v>1</v>
      </c>
      <c r="E463" t="s">
        <v>41</v>
      </c>
      <c r="F463">
        <v>3</v>
      </c>
      <c r="G463">
        <v>589</v>
      </c>
      <c r="H463">
        <v>20</v>
      </c>
      <c r="I463">
        <v>600</v>
      </c>
      <c r="J463">
        <v>1.83</v>
      </c>
      <c r="K463">
        <v>0.08</v>
      </c>
      <c r="L463">
        <v>7</v>
      </c>
      <c r="M463" t="s">
        <v>929</v>
      </c>
      <c r="N463">
        <v>1</v>
      </c>
    </row>
    <row r="464" spans="1:14" x14ac:dyDescent="0.35">
      <c r="A464">
        <v>347</v>
      </c>
      <c r="B464" t="s">
        <v>930</v>
      </c>
      <c r="C464">
        <v>297</v>
      </c>
      <c r="D464">
        <v>7</v>
      </c>
      <c r="E464" t="s">
        <v>17</v>
      </c>
      <c r="F464">
        <v>2.9</v>
      </c>
      <c r="G464">
        <v>588</v>
      </c>
      <c r="H464">
        <v>20</v>
      </c>
      <c r="I464">
        <v>600</v>
      </c>
      <c r="J464">
        <v>2</v>
      </c>
      <c r="K464">
        <v>0.08</v>
      </c>
      <c r="L464">
        <v>7</v>
      </c>
      <c r="M464" t="s">
        <v>931</v>
      </c>
      <c r="N464">
        <v>1</v>
      </c>
    </row>
    <row r="465" spans="1:14" x14ac:dyDescent="0.35">
      <c r="A465">
        <v>346</v>
      </c>
      <c r="B465" t="s">
        <v>932</v>
      </c>
      <c r="C465">
        <v>296</v>
      </c>
      <c r="D465">
        <v>8</v>
      </c>
      <c r="E465" t="s">
        <v>38</v>
      </c>
      <c r="F465">
        <v>2.8</v>
      </c>
      <c r="G465">
        <v>589</v>
      </c>
      <c r="H465">
        <v>20</v>
      </c>
      <c r="I465">
        <v>600</v>
      </c>
      <c r="J465">
        <v>1.83</v>
      </c>
      <c r="K465">
        <v>0.08</v>
      </c>
      <c r="L465">
        <v>7</v>
      </c>
      <c r="M465" t="s">
        <v>933</v>
      </c>
      <c r="N465">
        <v>1</v>
      </c>
    </row>
    <row r="466" spans="1:14" x14ac:dyDescent="0.35">
      <c r="A466">
        <v>345</v>
      </c>
      <c r="B466" t="s">
        <v>934</v>
      </c>
      <c r="C466">
        <v>295</v>
      </c>
      <c r="D466">
        <v>11</v>
      </c>
      <c r="E466" t="s">
        <v>23</v>
      </c>
      <c r="F466">
        <v>22.3</v>
      </c>
      <c r="G466">
        <v>588</v>
      </c>
      <c r="H466">
        <v>20</v>
      </c>
      <c r="I466">
        <v>600</v>
      </c>
      <c r="J466">
        <v>2</v>
      </c>
      <c r="K466">
        <v>0.08</v>
      </c>
      <c r="L466">
        <v>7</v>
      </c>
      <c r="M466" t="s">
        <v>935</v>
      </c>
      <c r="N466">
        <v>1</v>
      </c>
    </row>
    <row r="467" spans="1:14" x14ac:dyDescent="0.35">
      <c r="A467">
        <v>344</v>
      </c>
      <c r="B467" t="s">
        <v>936</v>
      </c>
      <c r="C467">
        <v>294</v>
      </c>
      <c r="D467">
        <v>1</v>
      </c>
      <c r="E467" t="s">
        <v>41</v>
      </c>
      <c r="F467">
        <v>2.9</v>
      </c>
      <c r="G467">
        <v>588</v>
      </c>
      <c r="H467">
        <v>20</v>
      </c>
      <c r="I467">
        <v>600</v>
      </c>
      <c r="J467">
        <v>2</v>
      </c>
      <c r="K467">
        <v>0.08</v>
      </c>
      <c r="L467">
        <v>7</v>
      </c>
      <c r="M467" t="s">
        <v>937</v>
      </c>
      <c r="N467">
        <v>1</v>
      </c>
    </row>
    <row r="468" spans="1:14" x14ac:dyDescent="0.35">
      <c r="A468">
        <v>343</v>
      </c>
      <c r="B468" t="s">
        <v>938</v>
      </c>
      <c r="C468">
        <v>293</v>
      </c>
      <c r="D468">
        <v>2</v>
      </c>
      <c r="E468" t="s">
        <v>74</v>
      </c>
      <c r="F468">
        <v>1.3</v>
      </c>
      <c r="G468">
        <v>588</v>
      </c>
      <c r="H468">
        <v>20</v>
      </c>
      <c r="I468">
        <v>600</v>
      </c>
      <c r="J468">
        <v>2</v>
      </c>
      <c r="K468">
        <v>0.08</v>
      </c>
      <c r="L468">
        <v>6.9</v>
      </c>
      <c r="M468" t="s">
        <v>939</v>
      </c>
      <c r="N468">
        <v>1</v>
      </c>
    </row>
    <row r="469" spans="1:14" x14ac:dyDescent="0.35">
      <c r="A469">
        <v>342</v>
      </c>
      <c r="B469" t="s">
        <v>940</v>
      </c>
      <c r="C469">
        <v>292</v>
      </c>
      <c r="D469">
        <v>8</v>
      </c>
      <c r="E469" t="s">
        <v>38</v>
      </c>
      <c r="F469">
        <v>2.7</v>
      </c>
      <c r="G469">
        <v>589</v>
      </c>
      <c r="H469">
        <v>20</v>
      </c>
      <c r="I469">
        <v>600</v>
      </c>
      <c r="J469">
        <v>1.83</v>
      </c>
      <c r="K469">
        <v>0.08</v>
      </c>
      <c r="L469">
        <v>7</v>
      </c>
      <c r="M469" t="s">
        <v>941</v>
      </c>
      <c r="N469">
        <v>1</v>
      </c>
    </row>
    <row r="470" spans="1:14" x14ac:dyDescent="0.35">
      <c r="A470">
        <v>341</v>
      </c>
      <c r="B470" t="s">
        <v>942</v>
      </c>
      <c r="C470">
        <v>291</v>
      </c>
      <c r="D470">
        <v>9</v>
      </c>
      <c r="E470" t="s">
        <v>44</v>
      </c>
      <c r="F470">
        <v>1.1000000000000001</v>
      </c>
      <c r="G470">
        <v>588</v>
      </c>
      <c r="H470">
        <v>20</v>
      </c>
      <c r="I470">
        <v>600</v>
      </c>
      <c r="J470">
        <v>2</v>
      </c>
      <c r="K470">
        <v>0.08</v>
      </c>
      <c r="L470">
        <v>7</v>
      </c>
      <c r="M470" t="s">
        <v>943</v>
      </c>
      <c r="N470">
        <v>1</v>
      </c>
    </row>
    <row r="471" spans="1:14" x14ac:dyDescent="0.35">
      <c r="A471">
        <v>340</v>
      </c>
      <c r="B471" t="s">
        <v>944</v>
      </c>
      <c r="C471">
        <v>290</v>
      </c>
      <c r="D471">
        <v>11</v>
      </c>
      <c r="E471" t="s">
        <v>23</v>
      </c>
      <c r="F471">
        <v>10.3</v>
      </c>
      <c r="G471">
        <v>586</v>
      </c>
      <c r="H471">
        <v>20</v>
      </c>
      <c r="I471">
        <v>600</v>
      </c>
      <c r="J471">
        <v>2.33</v>
      </c>
      <c r="K471">
        <v>0.08</v>
      </c>
      <c r="L471">
        <v>7</v>
      </c>
      <c r="M471" t="s">
        <v>945</v>
      </c>
      <c r="N471">
        <v>1</v>
      </c>
    </row>
    <row r="472" spans="1:14" x14ac:dyDescent="0.35">
      <c r="A472">
        <v>339</v>
      </c>
      <c r="B472" t="s">
        <v>946</v>
      </c>
      <c r="C472">
        <v>289</v>
      </c>
      <c r="D472">
        <v>1</v>
      </c>
      <c r="E472" t="s">
        <v>41</v>
      </c>
      <c r="F472">
        <v>3.1</v>
      </c>
      <c r="G472">
        <v>586</v>
      </c>
      <c r="H472">
        <v>20</v>
      </c>
      <c r="I472">
        <v>600</v>
      </c>
      <c r="J472">
        <v>2.33</v>
      </c>
      <c r="K472">
        <v>0.08</v>
      </c>
      <c r="L472">
        <v>7</v>
      </c>
      <c r="M472" t="s">
        <v>947</v>
      </c>
      <c r="N472">
        <v>1</v>
      </c>
    </row>
    <row r="473" spans="1:14" x14ac:dyDescent="0.35">
      <c r="A473">
        <v>338</v>
      </c>
      <c r="B473" t="s">
        <v>948</v>
      </c>
      <c r="C473">
        <v>288</v>
      </c>
      <c r="D473">
        <v>11</v>
      </c>
      <c r="E473" t="s">
        <v>23</v>
      </c>
      <c r="F473">
        <v>20.100000000000001</v>
      </c>
      <c r="G473">
        <v>588</v>
      </c>
      <c r="H473">
        <v>20</v>
      </c>
      <c r="I473">
        <v>600</v>
      </c>
      <c r="J473">
        <v>2</v>
      </c>
      <c r="K473">
        <v>0.08</v>
      </c>
      <c r="L473">
        <v>7</v>
      </c>
      <c r="M473" t="s">
        <v>949</v>
      </c>
      <c r="N473">
        <v>1</v>
      </c>
    </row>
    <row r="474" spans="1:14" x14ac:dyDescent="0.35">
      <c r="A474">
        <v>337</v>
      </c>
      <c r="B474" t="s">
        <v>950</v>
      </c>
      <c r="C474">
        <v>287</v>
      </c>
      <c r="D474">
        <v>2</v>
      </c>
      <c r="E474" t="s">
        <v>74</v>
      </c>
      <c r="F474">
        <v>1.3</v>
      </c>
      <c r="G474">
        <v>589</v>
      </c>
      <c r="H474">
        <v>20</v>
      </c>
      <c r="I474">
        <v>600</v>
      </c>
      <c r="J474">
        <v>1.83</v>
      </c>
      <c r="K474">
        <v>0.08</v>
      </c>
      <c r="L474">
        <v>7</v>
      </c>
      <c r="M474" t="s">
        <v>951</v>
      </c>
      <c r="N474">
        <v>1</v>
      </c>
    </row>
    <row r="475" spans="1:14" x14ac:dyDescent="0.35">
      <c r="A475">
        <v>336</v>
      </c>
      <c r="B475" t="s">
        <v>952</v>
      </c>
      <c r="C475">
        <v>286</v>
      </c>
      <c r="D475">
        <v>3</v>
      </c>
      <c r="E475" t="s">
        <v>20</v>
      </c>
      <c r="F475">
        <v>3.6</v>
      </c>
      <c r="G475">
        <v>586</v>
      </c>
      <c r="H475">
        <v>20</v>
      </c>
      <c r="I475">
        <v>600</v>
      </c>
      <c r="J475">
        <v>2.33</v>
      </c>
      <c r="K475">
        <v>0.08</v>
      </c>
      <c r="L475">
        <v>7.1</v>
      </c>
      <c r="M475" t="s">
        <v>953</v>
      </c>
      <c r="N475">
        <v>1</v>
      </c>
    </row>
    <row r="476" spans="1:14" x14ac:dyDescent="0.35">
      <c r="A476">
        <v>335</v>
      </c>
      <c r="B476" t="s">
        <v>954</v>
      </c>
      <c r="C476">
        <v>285</v>
      </c>
      <c r="D476">
        <v>11</v>
      </c>
      <c r="E476" t="s">
        <v>23</v>
      </c>
      <c r="F476">
        <v>26.9</v>
      </c>
      <c r="G476">
        <v>590</v>
      </c>
      <c r="H476">
        <v>20</v>
      </c>
      <c r="I476">
        <v>600</v>
      </c>
      <c r="J476">
        <v>1.67</v>
      </c>
      <c r="K476">
        <v>0.08</v>
      </c>
      <c r="L476">
        <v>7</v>
      </c>
      <c r="M476" t="s">
        <v>955</v>
      </c>
      <c r="N476">
        <v>1</v>
      </c>
    </row>
    <row r="477" spans="1:14" x14ac:dyDescent="0.35">
      <c r="A477">
        <v>334</v>
      </c>
      <c r="B477" t="s">
        <v>956</v>
      </c>
      <c r="C477">
        <v>284</v>
      </c>
      <c r="D477">
        <v>11</v>
      </c>
      <c r="E477" t="s">
        <v>23</v>
      </c>
      <c r="F477">
        <v>22.2</v>
      </c>
      <c r="G477">
        <v>588</v>
      </c>
      <c r="H477">
        <v>20</v>
      </c>
      <c r="I477">
        <v>600</v>
      </c>
      <c r="J477">
        <v>2</v>
      </c>
      <c r="K477">
        <v>0.08</v>
      </c>
      <c r="L477">
        <v>7</v>
      </c>
      <c r="M477" t="s">
        <v>957</v>
      </c>
      <c r="N477">
        <v>1</v>
      </c>
    </row>
    <row r="478" spans="1:14" x14ac:dyDescent="0.35">
      <c r="A478">
        <v>333</v>
      </c>
      <c r="B478" t="s">
        <v>958</v>
      </c>
      <c r="C478">
        <v>283</v>
      </c>
      <c r="D478">
        <v>6</v>
      </c>
      <c r="E478" t="s">
        <v>14</v>
      </c>
      <c r="F478">
        <v>1.4</v>
      </c>
      <c r="G478">
        <v>589</v>
      </c>
      <c r="H478">
        <v>20</v>
      </c>
      <c r="I478">
        <v>600</v>
      </c>
      <c r="J478">
        <v>1.83</v>
      </c>
      <c r="K478">
        <v>0.08</v>
      </c>
      <c r="L478">
        <v>6.9</v>
      </c>
      <c r="M478" t="s">
        <v>959</v>
      </c>
      <c r="N478">
        <v>1</v>
      </c>
    </row>
    <row r="479" spans="1:14" x14ac:dyDescent="0.35">
      <c r="A479">
        <v>332</v>
      </c>
      <c r="B479" t="s">
        <v>960</v>
      </c>
      <c r="C479">
        <v>282</v>
      </c>
      <c r="D479">
        <v>8</v>
      </c>
      <c r="E479" t="s">
        <v>38</v>
      </c>
      <c r="F479">
        <v>2.6</v>
      </c>
      <c r="G479">
        <v>589</v>
      </c>
      <c r="H479">
        <v>20</v>
      </c>
      <c r="I479">
        <v>600</v>
      </c>
      <c r="J479">
        <v>1.83</v>
      </c>
      <c r="K479">
        <v>0.08</v>
      </c>
      <c r="L479">
        <v>7</v>
      </c>
      <c r="M479" t="s">
        <v>961</v>
      </c>
      <c r="N479">
        <v>1</v>
      </c>
    </row>
    <row r="480" spans="1:14" x14ac:dyDescent="0.35">
      <c r="A480">
        <v>331</v>
      </c>
      <c r="B480" t="s">
        <v>962</v>
      </c>
      <c r="C480">
        <v>281</v>
      </c>
      <c r="D480">
        <v>9</v>
      </c>
      <c r="E480" t="s">
        <v>44</v>
      </c>
      <c r="F480">
        <v>1.1000000000000001</v>
      </c>
      <c r="G480">
        <v>590</v>
      </c>
      <c r="H480">
        <v>20</v>
      </c>
      <c r="I480">
        <v>600</v>
      </c>
      <c r="J480">
        <v>1.67</v>
      </c>
      <c r="K480">
        <v>0.08</v>
      </c>
      <c r="L480">
        <v>7</v>
      </c>
      <c r="M480" t="s">
        <v>963</v>
      </c>
      <c r="N480">
        <v>1</v>
      </c>
    </row>
    <row r="481" spans="1:14" x14ac:dyDescent="0.35">
      <c r="A481">
        <v>330</v>
      </c>
      <c r="B481" t="s">
        <v>964</v>
      </c>
      <c r="C481">
        <v>280</v>
      </c>
      <c r="D481">
        <v>7</v>
      </c>
      <c r="E481" t="s">
        <v>17</v>
      </c>
      <c r="F481">
        <v>3</v>
      </c>
      <c r="G481">
        <v>587</v>
      </c>
      <c r="H481">
        <v>20</v>
      </c>
      <c r="I481">
        <v>600</v>
      </c>
      <c r="J481">
        <v>2.17</v>
      </c>
      <c r="K481">
        <v>0.08</v>
      </c>
      <c r="L481">
        <v>7</v>
      </c>
      <c r="M481" t="s">
        <v>965</v>
      </c>
      <c r="N481">
        <v>1</v>
      </c>
    </row>
    <row r="482" spans="1:14" x14ac:dyDescent="0.35">
      <c r="A482">
        <v>329</v>
      </c>
      <c r="B482" t="s">
        <v>966</v>
      </c>
      <c r="C482">
        <v>279</v>
      </c>
      <c r="D482">
        <v>11</v>
      </c>
      <c r="E482" t="s">
        <v>23</v>
      </c>
      <c r="F482">
        <v>16.5</v>
      </c>
      <c r="G482">
        <v>586</v>
      </c>
      <c r="H482">
        <v>20</v>
      </c>
      <c r="I482">
        <v>600</v>
      </c>
      <c r="J482">
        <v>2.33</v>
      </c>
      <c r="K482">
        <v>0.08</v>
      </c>
      <c r="L482">
        <v>7</v>
      </c>
      <c r="M482" t="s">
        <v>967</v>
      </c>
      <c r="N482">
        <v>1</v>
      </c>
    </row>
    <row r="483" spans="1:14" x14ac:dyDescent="0.35">
      <c r="A483">
        <v>328</v>
      </c>
      <c r="B483" t="s">
        <v>968</v>
      </c>
      <c r="C483">
        <v>278</v>
      </c>
      <c r="D483">
        <v>1</v>
      </c>
      <c r="E483" t="s">
        <v>41</v>
      </c>
      <c r="F483">
        <v>2.9</v>
      </c>
      <c r="G483">
        <v>588</v>
      </c>
      <c r="H483">
        <v>20</v>
      </c>
      <c r="I483">
        <v>600</v>
      </c>
      <c r="J483">
        <v>2</v>
      </c>
      <c r="K483">
        <v>0.08</v>
      </c>
      <c r="L483">
        <v>7</v>
      </c>
      <c r="M483" t="s">
        <v>969</v>
      </c>
      <c r="N483">
        <v>1</v>
      </c>
    </row>
    <row r="484" spans="1:14" x14ac:dyDescent="0.35">
      <c r="A484">
        <v>327</v>
      </c>
      <c r="B484" t="s">
        <v>970</v>
      </c>
      <c r="C484">
        <v>277</v>
      </c>
      <c r="D484">
        <v>11</v>
      </c>
      <c r="E484" t="s">
        <v>23</v>
      </c>
      <c r="F484">
        <v>19.100000000000001</v>
      </c>
      <c r="G484">
        <v>589</v>
      </c>
      <c r="H484">
        <v>20</v>
      </c>
      <c r="I484">
        <v>600</v>
      </c>
      <c r="J484">
        <v>1.83</v>
      </c>
      <c r="K484">
        <v>0.08</v>
      </c>
      <c r="L484">
        <v>7</v>
      </c>
      <c r="M484" t="s">
        <v>971</v>
      </c>
      <c r="N484">
        <v>1</v>
      </c>
    </row>
    <row r="485" spans="1:14" x14ac:dyDescent="0.35">
      <c r="A485">
        <v>326</v>
      </c>
      <c r="B485" t="s">
        <v>972</v>
      </c>
      <c r="C485">
        <v>276</v>
      </c>
      <c r="D485">
        <v>11</v>
      </c>
      <c r="E485" t="s">
        <v>23</v>
      </c>
      <c r="F485">
        <v>15.7</v>
      </c>
      <c r="G485">
        <v>587</v>
      </c>
      <c r="H485">
        <v>20</v>
      </c>
      <c r="I485">
        <v>600</v>
      </c>
      <c r="J485">
        <v>2.17</v>
      </c>
      <c r="K485">
        <v>0.08</v>
      </c>
      <c r="L485">
        <v>7</v>
      </c>
      <c r="M485" t="s">
        <v>973</v>
      </c>
      <c r="N485">
        <v>1</v>
      </c>
    </row>
    <row r="486" spans="1:14" x14ac:dyDescent="0.35">
      <c r="A486">
        <v>325</v>
      </c>
      <c r="B486" t="s">
        <v>974</v>
      </c>
      <c r="C486">
        <v>275</v>
      </c>
      <c r="D486">
        <v>6</v>
      </c>
      <c r="E486" t="s">
        <v>14</v>
      </c>
      <c r="F486">
        <v>1.3</v>
      </c>
      <c r="G486">
        <v>588</v>
      </c>
      <c r="H486">
        <v>20</v>
      </c>
      <c r="I486">
        <v>600</v>
      </c>
      <c r="J486">
        <v>2</v>
      </c>
      <c r="K486">
        <v>0.08</v>
      </c>
      <c r="L486">
        <v>7</v>
      </c>
      <c r="M486" t="s">
        <v>975</v>
      </c>
      <c r="N486">
        <v>1</v>
      </c>
    </row>
    <row r="487" spans="1:14" x14ac:dyDescent="0.35">
      <c r="A487">
        <v>324</v>
      </c>
      <c r="B487" t="s">
        <v>976</v>
      </c>
      <c r="C487">
        <v>274</v>
      </c>
      <c r="D487">
        <v>11</v>
      </c>
      <c r="E487" t="s">
        <v>23</v>
      </c>
      <c r="F487">
        <v>9.6999999999999993</v>
      </c>
      <c r="G487">
        <v>588</v>
      </c>
      <c r="H487">
        <v>20</v>
      </c>
      <c r="I487">
        <v>600</v>
      </c>
      <c r="J487">
        <v>2</v>
      </c>
      <c r="K487">
        <v>0.08</v>
      </c>
      <c r="L487">
        <v>7</v>
      </c>
      <c r="M487" t="s">
        <v>977</v>
      </c>
      <c r="N487">
        <v>1</v>
      </c>
    </row>
    <row r="488" spans="1:14" x14ac:dyDescent="0.35">
      <c r="A488">
        <v>323</v>
      </c>
      <c r="B488" t="s">
        <v>978</v>
      </c>
      <c r="C488">
        <v>273</v>
      </c>
      <c r="D488">
        <v>8</v>
      </c>
      <c r="E488" t="s">
        <v>38</v>
      </c>
      <c r="F488">
        <v>2.2000000000000002</v>
      </c>
      <c r="G488">
        <v>588</v>
      </c>
      <c r="H488">
        <v>20</v>
      </c>
      <c r="I488">
        <v>600</v>
      </c>
      <c r="J488">
        <v>2</v>
      </c>
      <c r="K488">
        <v>0.08</v>
      </c>
      <c r="L488">
        <v>7</v>
      </c>
      <c r="M488" t="s">
        <v>979</v>
      </c>
      <c r="N488">
        <v>1</v>
      </c>
    </row>
    <row r="489" spans="1:14" x14ac:dyDescent="0.35">
      <c r="A489">
        <v>322</v>
      </c>
      <c r="B489" t="s">
        <v>980</v>
      </c>
      <c r="C489">
        <v>272</v>
      </c>
      <c r="D489">
        <v>4</v>
      </c>
      <c r="E489" t="s">
        <v>28</v>
      </c>
      <c r="F489">
        <v>2.4</v>
      </c>
      <c r="G489">
        <v>586</v>
      </c>
      <c r="H489">
        <v>20</v>
      </c>
      <c r="I489">
        <v>600</v>
      </c>
      <c r="J489">
        <v>2.33</v>
      </c>
      <c r="K489">
        <v>0.08</v>
      </c>
      <c r="L489">
        <v>7</v>
      </c>
      <c r="M489" t="s">
        <v>981</v>
      </c>
      <c r="N489">
        <v>1</v>
      </c>
    </row>
    <row r="490" spans="1:14" x14ac:dyDescent="0.35">
      <c r="A490">
        <v>321</v>
      </c>
      <c r="B490" t="s">
        <v>982</v>
      </c>
      <c r="C490" s="3">
        <v>271</v>
      </c>
      <c r="D490">
        <v>3</v>
      </c>
      <c r="E490" t="s">
        <v>20</v>
      </c>
      <c r="F490">
        <v>4.4000000000000004</v>
      </c>
      <c r="G490">
        <v>586</v>
      </c>
      <c r="H490">
        <v>20</v>
      </c>
      <c r="I490">
        <v>600</v>
      </c>
      <c r="J490">
        <v>2.33</v>
      </c>
      <c r="K490">
        <v>0.08</v>
      </c>
      <c r="L490">
        <v>7</v>
      </c>
      <c r="M490" t="s">
        <v>983</v>
      </c>
      <c r="N490">
        <v>0</v>
      </c>
    </row>
    <row r="491" spans="1:14" x14ac:dyDescent="0.35">
      <c r="A491">
        <v>320</v>
      </c>
      <c r="B491" t="s">
        <v>984</v>
      </c>
      <c r="C491">
        <v>270</v>
      </c>
      <c r="D491">
        <v>11</v>
      </c>
      <c r="E491" t="s">
        <v>23</v>
      </c>
      <c r="F491">
        <v>16.7</v>
      </c>
      <c r="G491">
        <v>588</v>
      </c>
      <c r="H491">
        <v>20</v>
      </c>
      <c r="I491">
        <v>600</v>
      </c>
      <c r="J491">
        <v>2</v>
      </c>
      <c r="K491">
        <v>0.08</v>
      </c>
      <c r="L491">
        <v>7</v>
      </c>
      <c r="M491" t="s">
        <v>985</v>
      </c>
      <c r="N491">
        <v>1</v>
      </c>
    </row>
    <row r="492" spans="1:14" x14ac:dyDescent="0.35">
      <c r="A492">
        <v>319</v>
      </c>
      <c r="B492" t="s">
        <v>986</v>
      </c>
      <c r="C492">
        <v>269</v>
      </c>
      <c r="D492">
        <v>7</v>
      </c>
      <c r="E492" t="s">
        <v>17</v>
      </c>
      <c r="F492">
        <v>2.8</v>
      </c>
      <c r="G492">
        <v>586</v>
      </c>
      <c r="H492">
        <v>20</v>
      </c>
      <c r="I492">
        <v>600</v>
      </c>
      <c r="J492">
        <v>2.33</v>
      </c>
      <c r="K492">
        <v>0.08</v>
      </c>
      <c r="L492">
        <v>7</v>
      </c>
      <c r="M492" t="s">
        <v>987</v>
      </c>
      <c r="N492">
        <v>1</v>
      </c>
    </row>
    <row r="493" spans="1:14" x14ac:dyDescent="0.35">
      <c r="A493">
        <v>318</v>
      </c>
      <c r="B493" t="s">
        <v>988</v>
      </c>
      <c r="C493">
        <v>268</v>
      </c>
      <c r="D493">
        <v>11</v>
      </c>
      <c r="E493" t="s">
        <v>23</v>
      </c>
      <c r="F493">
        <v>15.9</v>
      </c>
      <c r="G493">
        <v>586</v>
      </c>
      <c r="H493">
        <v>20</v>
      </c>
      <c r="I493">
        <v>600</v>
      </c>
      <c r="J493">
        <v>2.33</v>
      </c>
      <c r="K493">
        <v>0.08</v>
      </c>
      <c r="L493">
        <v>7</v>
      </c>
      <c r="M493" t="s">
        <v>989</v>
      </c>
      <c r="N493">
        <v>1</v>
      </c>
    </row>
    <row r="494" spans="1:14" x14ac:dyDescent="0.35">
      <c r="A494">
        <v>317</v>
      </c>
      <c r="B494" t="s">
        <v>990</v>
      </c>
      <c r="C494">
        <v>267</v>
      </c>
      <c r="D494">
        <v>1</v>
      </c>
      <c r="E494" t="s">
        <v>41</v>
      </c>
      <c r="F494">
        <v>2.8</v>
      </c>
      <c r="G494">
        <v>586</v>
      </c>
      <c r="H494">
        <v>20</v>
      </c>
      <c r="I494">
        <v>600</v>
      </c>
      <c r="J494">
        <v>2.33</v>
      </c>
      <c r="K494">
        <v>0.08</v>
      </c>
      <c r="L494">
        <v>7</v>
      </c>
      <c r="M494" t="s">
        <v>991</v>
      </c>
      <c r="N494">
        <v>1</v>
      </c>
    </row>
    <row r="495" spans="1:14" x14ac:dyDescent="0.35">
      <c r="A495">
        <v>316</v>
      </c>
      <c r="B495" t="s">
        <v>992</v>
      </c>
      <c r="C495">
        <v>266</v>
      </c>
      <c r="D495">
        <v>11</v>
      </c>
      <c r="E495" t="s">
        <v>23</v>
      </c>
      <c r="F495">
        <v>16.3</v>
      </c>
      <c r="G495">
        <v>586</v>
      </c>
      <c r="H495">
        <v>20</v>
      </c>
      <c r="I495">
        <v>600</v>
      </c>
      <c r="J495">
        <v>2.33</v>
      </c>
      <c r="K495">
        <v>0.08</v>
      </c>
      <c r="L495">
        <v>7</v>
      </c>
      <c r="M495" t="s">
        <v>993</v>
      </c>
      <c r="N495">
        <v>1</v>
      </c>
    </row>
    <row r="496" spans="1:14" x14ac:dyDescent="0.35">
      <c r="A496">
        <v>315</v>
      </c>
      <c r="B496" t="s">
        <v>994</v>
      </c>
      <c r="C496">
        <v>265</v>
      </c>
      <c r="D496">
        <v>4</v>
      </c>
      <c r="E496" t="s">
        <v>28</v>
      </c>
      <c r="F496">
        <v>2.4</v>
      </c>
      <c r="G496">
        <v>587</v>
      </c>
      <c r="H496">
        <v>20</v>
      </c>
      <c r="I496">
        <v>600</v>
      </c>
      <c r="J496">
        <v>2.17</v>
      </c>
      <c r="K496">
        <v>0.08</v>
      </c>
      <c r="L496">
        <v>7</v>
      </c>
      <c r="M496" t="s">
        <v>995</v>
      </c>
      <c r="N496">
        <v>1</v>
      </c>
    </row>
    <row r="497" spans="1:14" x14ac:dyDescent="0.35">
      <c r="A497">
        <v>314</v>
      </c>
      <c r="B497" t="s">
        <v>996</v>
      </c>
      <c r="C497">
        <v>264</v>
      </c>
      <c r="D497">
        <v>11</v>
      </c>
      <c r="E497" t="s">
        <v>23</v>
      </c>
      <c r="F497">
        <v>15.9</v>
      </c>
      <c r="G497">
        <v>588</v>
      </c>
      <c r="H497">
        <v>20</v>
      </c>
      <c r="I497">
        <v>600</v>
      </c>
      <c r="J497">
        <v>2</v>
      </c>
      <c r="K497">
        <v>0.08</v>
      </c>
      <c r="L497">
        <v>7</v>
      </c>
      <c r="M497" t="s">
        <v>997</v>
      </c>
      <c r="N497">
        <v>1</v>
      </c>
    </row>
    <row r="498" spans="1:14" x14ac:dyDescent="0.35">
      <c r="A498">
        <v>313</v>
      </c>
      <c r="B498" t="s">
        <v>998</v>
      </c>
      <c r="C498">
        <v>263</v>
      </c>
      <c r="D498">
        <v>9</v>
      </c>
      <c r="E498" t="s">
        <v>44</v>
      </c>
      <c r="F498">
        <v>1.1000000000000001</v>
      </c>
      <c r="G498">
        <v>588</v>
      </c>
      <c r="H498">
        <v>20</v>
      </c>
      <c r="I498">
        <v>600</v>
      </c>
      <c r="J498">
        <v>2</v>
      </c>
      <c r="K498">
        <v>0.08</v>
      </c>
      <c r="L498">
        <v>7</v>
      </c>
      <c r="M498" t="s">
        <v>999</v>
      </c>
      <c r="N498">
        <v>1</v>
      </c>
    </row>
    <row r="499" spans="1:14" x14ac:dyDescent="0.35">
      <c r="A499">
        <v>312</v>
      </c>
      <c r="B499" t="s">
        <v>1000</v>
      </c>
      <c r="C499">
        <v>262</v>
      </c>
      <c r="D499">
        <v>11</v>
      </c>
      <c r="E499" t="s">
        <v>23</v>
      </c>
      <c r="F499">
        <v>19.600000000000001</v>
      </c>
      <c r="G499">
        <v>588</v>
      </c>
      <c r="H499">
        <v>20</v>
      </c>
      <c r="I499">
        <v>600</v>
      </c>
      <c r="J499">
        <v>2</v>
      </c>
      <c r="K499">
        <v>0.08</v>
      </c>
      <c r="L499">
        <v>7</v>
      </c>
      <c r="M499" t="s">
        <v>1001</v>
      </c>
      <c r="N499">
        <v>1</v>
      </c>
    </row>
    <row r="500" spans="1:14" x14ac:dyDescent="0.35">
      <c r="A500">
        <v>311</v>
      </c>
      <c r="B500" t="s">
        <v>1002</v>
      </c>
      <c r="C500">
        <v>261</v>
      </c>
      <c r="D500">
        <v>3</v>
      </c>
      <c r="E500" t="s">
        <v>20</v>
      </c>
      <c r="F500">
        <v>2.7</v>
      </c>
      <c r="G500">
        <v>588</v>
      </c>
      <c r="H500">
        <v>20</v>
      </c>
      <c r="I500">
        <v>600</v>
      </c>
      <c r="J500">
        <v>2</v>
      </c>
      <c r="K500">
        <v>0.08</v>
      </c>
      <c r="L500">
        <v>7</v>
      </c>
      <c r="M500" t="s">
        <v>1003</v>
      </c>
      <c r="N500">
        <v>1</v>
      </c>
    </row>
    <row r="501" spans="1:14" x14ac:dyDescent="0.35">
      <c r="A501">
        <v>310</v>
      </c>
      <c r="B501" t="s">
        <v>1004</v>
      </c>
      <c r="C501">
        <v>260</v>
      </c>
      <c r="D501">
        <v>11</v>
      </c>
      <c r="E501" t="s">
        <v>23</v>
      </c>
      <c r="F501">
        <v>7.3</v>
      </c>
      <c r="G501">
        <v>588</v>
      </c>
      <c r="H501">
        <v>20</v>
      </c>
      <c r="I501">
        <v>600</v>
      </c>
      <c r="J501">
        <v>2</v>
      </c>
      <c r="K501">
        <v>0.08</v>
      </c>
      <c r="L501">
        <v>7</v>
      </c>
      <c r="M501" t="s">
        <v>1005</v>
      </c>
      <c r="N501">
        <v>1</v>
      </c>
    </row>
    <row r="502" spans="1:14" x14ac:dyDescent="0.35">
      <c r="A502">
        <v>309</v>
      </c>
      <c r="B502" t="s">
        <v>1006</v>
      </c>
      <c r="C502">
        <v>259</v>
      </c>
      <c r="D502">
        <v>1</v>
      </c>
      <c r="E502" t="s">
        <v>41</v>
      </c>
      <c r="F502">
        <v>3.3</v>
      </c>
      <c r="G502">
        <v>588</v>
      </c>
      <c r="H502">
        <v>20</v>
      </c>
      <c r="I502">
        <v>600</v>
      </c>
      <c r="J502">
        <v>2</v>
      </c>
      <c r="K502">
        <v>0.08</v>
      </c>
      <c r="L502">
        <v>7</v>
      </c>
      <c r="M502" t="s">
        <v>1007</v>
      </c>
      <c r="N502">
        <v>1</v>
      </c>
    </row>
    <row r="503" spans="1:14" x14ac:dyDescent="0.35">
      <c r="A503">
        <v>308</v>
      </c>
      <c r="B503" t="s">
        <v>1008</v>
      </c>
      <c r="C503">
        <v>258</v>
      </c>
      <c r="D503">
        <v>5</v>
      </c>
      <c r="E503" t="s">
        <v>35</v>
      </c>
      <c r="F503">
        <v>1.2</v>
      </c>
      <c r="G503">
        <v>588</v>
      </c>
      <c r="H503">
        <v>20</v>
      </c>
      <c r="I503">
        <v>600</v>
      </c>
      <c r="J503">
        <v>2</v>
      </c>
      <c r="K503">
        <v>0.08</v>
      </c>
      <c r="L503">
        <v>7</v>
      </c>
      <c r="M503" t="s">
        <v>1009</v>
      </c>
      <c r="N503">
        <v>1</v>
      </c>
    </row>
    <row r="504" spans="1:14" x14ac:dyDescent="0.35">
      <c r="A504">
        <v>307</v>
      </c>
      <c r="B504" t="s">
        <v>1010</v>
      </c>
      <c r="C504">
        <v>257</v>
      </c>
      <c r="D504">
        <v>4</v>
      </c>
      <c r="E504" t="s">
        <v>28</v>
      </c>
      <c r="F504">
        <v>2.2999999999999998</v>
      </c>
      <c r="G504">
        <v>586</v>
      </c>
      <c r="H504">
        <v>20</v>
      </c>
      <c r="I504">
        <v>600</v>
      </c>
      <c r="J504">
        <v>2.33</v>
      </c>
      <c r="K504">
        <v>0.08</v>
      </c>
      <c r="L504">
        <v>7</v>
      </c>
      <c r="M504" t="s">
        <v>1011</v>
      </c>
      <c r="N504">
        <v>1</v>
      </c>
    </row>
    <row r="505" spans="1:14" x14ac:dyDescent="0.35">
      <c r="A505">
        <v>306</v>
      </c>
      <c r="B505" t="s">
        <v>1012</v>
      </c>
      <c r="C505">
        <v>256</v>
      </c>
      <c r="D505">
        <v>11</v>
      </c>
      <c r="E505" t="s">
        <v>23</v>
      </c>
      <c r="F505">
        <v>9.5</v>
      </c>
      <c r="G505">
        <v>585</v>
      </c>
      <c r="H505">
        <v>20</v>
      </c>
      <c r="I505">
        <v>600</v>
      </c>
      <c r="J505">
        <v>2.5</v>
      </c>
      <c r="K505">
        <v>0.08</v>
      </c>
      <c r="L505">
        <v>7.1</v>
      </c>
      <c r="M505" t="s">
        <v>1013</v>
      </c>
      <c r="N505">
        <v>1</v>
      </c>
    </row>
    <row r="506" spans="1:14" x14ac:dyDescent="0.35">
      <c r="A506">
        <v>305</v>
      </c>
      <c r="B506" t="s">
        <v>1014</v>
      </c>
      <c r="C506">
        <v>255</v>
      </c>
      <c r="D506">
        <v>11</v>
      </c>
      <c r="E506" t="s">
        <v>23</v>
      </c>
      <c r="F506">
        <v>22.2</v>
      </c>
      <c r="G506">
        <v>586</v>
      </c>
      <c r="H506">
        <v>20</v>
      </c>
      <c r="I506">
        <v>600</v>
      </c>
      <c r="J506">
        <v>2.33</v>
      </c>
      <c r="K506">
        <v>0.08</v>
      </c>
      <c r="L506">
        <v>7</v>
      </c>
      <c r="M506" t="s">
        <v>1015</v>
      </c>
      <c r="N506">
        <v>1</v>
      </c>
    </row>
    <row r="507" spans="1:14" x14ac:dyDescent="0.35">
      <c r="A507">
        <v>304</v>
      </c>
      <c r="B507" t="s">
        <v>1016</v>
      </c>
      <c r="C507">
        <v>254</v>
      </c>
      <c r="D507">
        <v>1</v>
      </c>
      <c r="E507" t="s">
        <v>41</v>
      </c>
      <c r="F507">
        <v>3.1</v>
      </c>
      <c r="G507">
        <v>586</v>
      </c>
      <c r="H507">
        <v>20</v>
      </c>
      <c r="I507">
        <v>600</v>
      </c>
      <c r="J507">
        <v>2.33</v>
      </c>
      <c r="K507">
        <v>0.08</v>
      </c>
      <c r="L507">
        <v>7</v>
      </c>
      <c r="M507" t="s">
        <v>1017</v>
      </c>
      <c r="N507">
        <v>1</v>
      </c>
    </row>
    <row r="508" spans="1:14" x14ac:dyDescent="0.35">
      <c r="A508">
        <v>303</v>
      </c>
      <c r="B508" t="s">
        <v>1018</v>
      </c>
      <c r="C508">
        <v>253</v>
      </c>
      <c r="D508">
        <v>6</v>
      </c>
      <c r="E508" t="s">
        <v>14</v>
      </c>
      <c r="F508">
        <v>1.2</v>
      </c>
      <c r="G508">
        <v>588</v>
      </c>
      <c r="H508">
        <v>20</v>
      </c>
      <c r="I508">
        <v>600</v>
      </c>
      <c r="J508">
        <v>2</v>
      </c>
      <c r="K508">
        <v>0.08</v>
      </c>
      <c r="L508">
        <v>7</v>
      </c>
      <c r="M508" t="s">
        <v>1019</v>
      </c>
      <c r="N508">
        <v>1</v>
      </c>
    </row>
    <row r="509" spans="1:14" x14ac:dyDescent="0.35">
      <c r="A509">
        <v>302</v>
      </c>
      <c r="B509" t="s">
        <v>1020</v>
      </c>
      <c r="C509">
        <v>252</v>
      </c>
      <c r="D509">
        <v>5</v>
      </c>
      <c r="E509" t="s">
        <v>35</v>
      </c>
      <c r="F509">
        <v>1.2</v>
      </c>
      <c r="G509">
        <v>587</v>
      </c>
      <c r="H509">
        <v>20</v>
      </c>
      <c r="I509">
        <v>600</v>
      </c>
      <c r="J509">
        <v>2.17</v>
      </c>
      <c r="K509">
        <v>0.08</v>
      </c>
      <c r="L509">
        <v>7</v>
      </c>
      <c r="M509" t="s">
        <v>1021</v>
      </c>
      <c r="N509">
        <v>1</v>
      </c>
    </row>
    <row r="510" spans="1:14" x14ac:dyDescent="0.35">
      <c r="A510">
        <v>301</v>
      </c>
      <c r="B510" t="s">
        <v>1022</v>
      </c>
      <c r="C510">
        <v>251</v>
      </c>
      <c r="D510">
        <v>11</v>
      </c>
      <c r="E510" t="s">
        <v>23</v>
      </c>
      <c r="F510">
        <v>15.6</v>
      </c>
      <c r="G510">
        <v>584</v>
      </c>
      <c r="H510">
        <v>20</v>
      </c>
      <c r="I510">
        <v>600</v>
      </c>
      <c r="J510">
        <v>2.67</v>
      </c>
      <c r="K510">
        <v>7.9000000000000001E-2</v>
      </c>
      <c r="L510">
        <v>7</v>
      </c>
      <c r="M510" t="s">
        <v>1023</v>
      </c>
      <c r="N510">
        <v>1</v>
      </c>
    </row>
    <row r="511" spans="1:14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x14ac:dyDescent="0.35">
      <c r="A512">
        <v>300</v>
      </c>
      <c r="B512" t="s">
        <v>1024</v>
      </c>
      <c r="C512">
        <v>250</v>
      </c>
      <c r="D512">
        <v>2</v>
      </c>
      <c r="E512" t="s">
        <v>74</v>
      </c>
      <c r="F512">
        <v>1.3</v>
      </c>
      <c r="G512">
        <v>1187</v>
      </c>
      <c r="H512">
        <v>40</v>
      </c>
      <c r="I512">
        <v>1200</v>
      </c>
      <c r="J512">
        <v>1.08</v>
      </c>
      <c r="K512">
        <v>0.161</v>
      </c>
      <c r="L512">
        <v>3.5</v>
      </c>
      <c r="M512" t="s">
        <v>1025</v>
      </c>
      <c r="N512">
        <v>1</v>
      </c>
    </row>
    <row r="513" spans="1:14" x14ac:dyDescent="0.35">
      <c r="A513">
        <v>299</v>
      </c>
      <c r="B513" t="s">
        <v>1026</v>
      </c>
      <c r="C513" s="3">
        <v>249</v>
      </c>
      <c r="D513">
        <v>12</v>
      </c>
      <c r="E513" t="s">
        <v>59</v>
      </c>
      <c r="F513">
        <v>0</v>
      </c>
      <c r="G513">
        <v>1190</v>
      </c>
      <c r="H513">
        <v>40</v>
      </c>
      <c r="I513">
        <v>1200</v>
      </c>
      <c r="J513">
        <v>0.83</v>
      </c>
      <c r="K513">
        <v>0.16200000000000001</v>
      </c>
      <c r="L513">
        <v>3.5</v>
      </c>
      <c r="M513" t="s">
        <v>1027</v>
      </c>
      <c r="N513">
        <v>0</v>
      </c>
    </row>
    <row r="514" spans="1:14" x14ac:dyDescent="0.35">
      <c r="A514">
        <v>298</v>
      </c>
      <c r="B514" t="s">
        <v>1028</v>
      </c>
      <c r="C514">
        <v>248</v>
      </c>
      <c r="D514">
        <v>11</v>
      </c>
      <c r="E514" t="s">
        <v>23</v>
      </c>
      <c r="F514">
        <v>19.8</v>
      </c>
      <c r="G514">
        <v>1191</v>
      </c>
      <c r="H514">
        <v>40</v>
      </c>
      <c r="I514">
        <v>1200</v>
      </c>
      <c r="J514">
        <v>0.75</v>
      </c>
      <c r="K514">
        <v>0.16200000000000001</v>
      </c>
      <c r="L514">
        <v>3.6</v>
      </c>
      <c r="M514" t="s">
        <v>1029</v>
      </c>
      <c r="N514">
        <v>1</v>
      </c>
    </row>
    <row r="515" spans="1:14" x14ac:dyDescent="0.35">
      <c r="A515">
        <v>297</v>
      </c>
      <c r="B515" t="s">
        <v>1030</v>
      </c>
      <c r="C515" s="3">
        <v>247</v>
      </c>
      <c r="D515">
        <v>12</v>
      </c>
      <c r="E515" t="s">
        <v>59</v>
      </c>
      <c r="F515">
        <v>0</v>
      </c>
      <c r="G515">
        <v>1190</v>
      </c>
      <c r="H515">
        <v>40</v>
      </c>
      <c r="I515">
        <v>1200</v>
      </c>
      <c r="J515">
        <v>0.83</v>
      </c>
      <c r="K515">
        <v>0.16200000000000001</v>
      </c>
      <c r="L515">
        <v>3.5</v>
      </c>
      <c r="M515" t="s">
        <v>1031</v>
      </c>
      <c r="N515">
        <v>0</v>
      </c>
    </row>
    <row r="516" spans="1:14" x14ac:dyDescent="0.35">
      <c r="A516">
        <v>296</v>
      </c>
      <c r="B516" t="s">
        <v>1032</v>
      </c>
      <c r="C516">
        <v>246</v>
      </c>
      <c r="D516">
        <v>2</v>
      </c>
      <c r="E516" t="s">
        <v>74</v>
      </c>
      <c r="F516">
        <v>1.2</v>
      </c>
      <c r="G516">
        <v>1188</v>
      </c>
      <c r="H516">
        <v>40</v>
      </c>
      <c r="I516">
        <v>1200</v>
      </c>
      <c r="J516">
        <v>1</v>
      </c>
      <c r="K516">
        <v>0.16200000000000001</v>
      </c>
      <c r="L516">
        <v>3.4</v>
      </c>
      <c r="M516" t="s">
        <v>1033</v>
      </c>
      <c r="N516">
        <v>1</v>
      </c>
    </row>
    <row r="517" spans="1:14" x14ac:dyDescent="0.35">
      <c r="A517">
        <v>295</v>
      </c>
      <c r="B517" t="s">
        <v>1034</v>
      </c>
      <c r="C517">
        <v>245</v>
      </c>
      <c r="D517">
        <v>4</v>
      </c>
      <c r="E517" t="s">
        <v>28</v>
      </c>
      <c r="F517">
        <v>2.2000000000000002</v>
      </c>
      <c r="G517">
        <v>1186</v>
      </c>
      <c r="H517">
        <v>40</v>
      </c>
      <c r="I517">
        <v>1200</v>
      </c>
      <c r="J517">
        <v>1.17</v>
      </c>
      <c r="K517">
        <v>0.161</v>
      </c>
      <c r="L517">
        <v>3.5</v>
      </c>
      <c r="M517" t="s">
        <v>1035</v>
      </c>
      <c r="N517">
        <v>1</v>
      </c>
    </row>
    <row r="518" spans="1:14" x14ac:dyDescent="0.35">
      <c r="A518">
        <v>294</v>
      </c>
      <c r="B518" t="s">
        <v>1036</v>
      </c>
      <c r="C518">
        <v>244</v>
      </c>
      <c r="D518">
        <v>6</v>
      </c>
      <c r="E518" t="s">
        <v>14</v>
      </c>
      <c r="F518">
        <v>1.1000000000000001</v>
      </c>
      <c r="G518">
        <v>1188</v>
      </c>
      <c r="H518">
        <v>40</v>
      </c>
      <c r="I518">
        <v>1200</v>
      </c>
      <c r="J518">
        <v>1</v>
      </c>
      <c r="K518">
        <v>0.16200000000000001</v>
      </c>
      <c r="L518">
        <v>3.5</v>
      </c>
      <c r="M518" t="s">
        <v>1037</v>
      </c>
      <c r="N518">
        <v>1</v>
      </c>
    </row>
    <row r="519" spans="1:14" x14ac:dyDescent="0.35">
      <c r="A519">
        <v>293</v>
      </c>
      <c r="B519" t="s">
        <v>1038</v>
      </c>
      <c r="C519">
        <v>243</v>
      </c>
      <c r="D519">
        <v>11</v>
      </c>
      <c r="E519" t="s">
        <v>23</v>
      </c>
      <c r="F519">
        <v>13.4</v>
      </c>
      <c r="G519">
        <v>1190</v>
      </c>
      <c r="H519">
        <v>40</v>
      </c>
      <c r="I519">
        <v>1200</v>
      </c>
      <c r="J519">
        <v>0.83</v>
      </c>
      <c r="K519">
        <v>0.16200000000000001</v>
      </c>
      <c r="L519">
        <v>3.5</v>
      </c>
      <c r="M519" t="s">
        <v>1039</v>
      </c>
      <c r="N519">
        <v>1</v>
      </c>
    </row>
    <row r="520" spans="1:14" x14ac:dyDescent="0.35">
      <c r="A520">
        <v>292</v>
      </c>
      <c r="B520" t="s">
        <v>1040</v>
      </c>
      <c r="C520">
        <v>242</v>
      </c>
      <c r="D520">
        <v>2</v>
      </c>
      <c r="E520" t="s">
        <v>74</v>
      </c>
      <c r="F520">
        <v>1.3</v>
      </c>
      <c r="G520">
        <v>1188</v>
      </c>
      <c r="H520">
        <v>40</v>
      </c>
      <c r="I520">
        <v>1200</v>
      </c>
      <c r="J520">
        <v>1</v>
      </c>
      <c r="K520">
        <v>0.16200000000000001</v>
      </c>
      <c r="L520">
        <v>3.5</v>
      </c>
      <c r="M520" t="s">
        <v>1041</v>
      </c>
      <c r="N520">
        <v>1</v>
      </c>
    </row>
    <row r="521" spans="1:14" x14ac:dyDescent="0.35">
      <c r="A521">
        <v>291</v>
      </c>
      <c r="B521" t="s">
        <v>1042</v>
      </c>
      <c r="C521">
        <v>241</v>
      </c>
      <c r="D521">
        <v>7</v>
      </c>
      <c r="E521" t="s">
        <v>17</v>
      </c>
      <c r="F521">
        <v>2.8</v>
      </c>
      <c r="G521">
        <v>1191</v>
      </c>
      <c r="H521">
        <v>40</v>
      </c>
      <c r="I521">
        <v>1200</v>
      </c>
      <c r="J521">
        <v>0.75</v>
      </c>
      <c r="K521">
        <v>0.16200000000000001</v>
      </c>
      <c r="L521">
        <v>3.5</v>
      </c>
      <c r="M521" t="s">
        <v>1043</v>
      </c>
      <c r="N521">
        <v>1</v>
      </c>
    </row>
    <row r="522" spans="1:14" x14ac:dyDescent="0.35">
      <c r="A522">
        <v>290</v>
      </c>
      <c r="B522" t="s">
        <v>1044</v>
      </c>
      <c r="C522">
        <v>240</v>
      </c>
      <c r="D522">
        <v>9</v>
      </c>
      <c r="E522" t="s">
        <v>44</v>
      </c>
      <c r="F522">
        <v>2.2999999999999998</v>
      </c>
      <c r="G522">
        <v>1190</v>
      </c>
      <c r="H522">
        <v>40</v>
      </c>
      <c r="I522">
        <v>1200</v>
      </c>
      <c r="J522">
        <v>0.83</v>
      </c>
      <c r="K522">
        <v>0.16200000000000001</v>
      </c>
      <c r="L522">
        <v>3.5</v>
      </c>
      <c r="M522" t="s">
        <v>1045</v>
      </c>
      <c r="N522">
        <v>1</v>
      </c>
    </row>
    <row r="523" spans="1:14" x14ac:dyDescent="0.35">
      <c r="A523">
        <v>289</v>
      </c>
      <c r="B523" t="s">
        <v>1046</v>
      </c>
      <c r="C523">
        <v>239</v>
      </c>
      <c r="D523">
        <v>11</v>
      </c>
      <c r="E523" t="s">
        <v>23</v>
      </c>
      <c r="F523">
        <v>19.600000000000001</v>
      </c>
      <c r="G523">
        <v>1188</v>
      </c>
      <c r="H523">
        <v>40</v>
      </c>
      <c r="I523">
        <v>1200</v>
      </c>
      <c r="J523">
        <v>1</v>
      </c>
      <c r="K523">
        <v>0.16200000000000001</v>
      </c>
      <c r="L523">
        <v>3.5</v>
      </c>
      <c r="M523" t="s">
        <v>1047</v>
      </c>
      <c r="N523">
        <v>1</v>
      </c>
    </row>
    <row r="524" spans="1:14" x14ac:dyDescent="0.35">
      <c r="A524">
        <v>288</v>
      </c>
      <c r="B524" t="s">
        <v>1048</v>
      </c>
      <c r="C524">
        <v>238</v>
      </c>
      <c r="D524">
        <v>11</v>
      </c>
      <c r="E524" t="s">
        <v>23</v>
      </c>
      <c r="F524">
        <v>19.8</v>
      </c>
      <c r="G524">
        <v>1190</v>
      </c>
      <c r="H524">
        <v>40</v>
      </c>
      <c r="I524">
        <v>1200</v>
      </c>
      <c r="J524">
        <v>0.83</v>
      </c>
      <c r="K524">
        <v>0.16200000000000001</v>
      </c>
      <c r="L524">
        <v>3.5</v>
      </c>
      <c r="M524" t="s">
        <v>1049</v>
      </c>
      <c r="N524">
        <v>1</v>
      </c>
    </row>
    <row r="525" spans="1:14" x14ac:dyDescent="0.35">
      <c r="A525">
        <v>287</v>
      </c>
      <c r="B525" t="s">
        <v>1050</v>
      </c>
      <c r="C525">
        <v>237</v>
      </c>
      <c r="D525">
        <v>3</v>
      </c>
      <c r="E525" t="s">
        <v>20</v>
      </c>
      <c r="F525">
        <v>1.3</v>
      </c>
      <c r="G525">
        <v>1189</v>
      </c>
      <c r="H525">
        <v>40</v>
      </c>
      <c r="I525">
        <v>1200</v>
      </c>
      <c r="J525">
        <v>0.92</v>
      </c>
      <c r="K525">
        <v>0.16200000000000001</v>
      </c>
      <c r="L525">
        <v>3.5</v>
      </c>
      <c r="M525" t="s">
        <v>1051</v>
      </c>
      <c r="N525">
        <v>1</v>
      </c>
    </row>
    <row r="526" spans="1:14" x14ac:dyDescent="0.35">
      <c r="A526">
        <v>286</v>
      </c>
      <c r="B526" t="s">
        <v>1052</v>
      </c>
      <c r="C526">
        <v>236</v>
      </c>
      <c r="D526">
        <v>4</v>
      </c>
      <c r="E526" t="s">
        <v>28</v>
      </c>
      <c r="F526">
        <v>2.2000000000000002</v>
      </c>
      <c r="G526">
        <v>1191</v>
      </c>
      <c r="H526">
        <v>40</v>
      </c>
      <c r="I526">
        <v>1200</v>
      </c>
      <c r="J526">
        <v>0.75</v>
      </c>
      <c r="K526">
        <v>0.16200000000000001</v>
      </c>
      <c r="L526">
        <v>3.5</v>
      </c>
      <c r="M526" t="s">
        <v>1053</v>
      </c>
      <c r="N526">
        <v>1</v>
      </c>
    </row>
    <row r="527" spans="1:14" x14ac:dyDescent="0.35">
      <c r="A527">
        <v>285</v>
      </c>
      <c r="B527" t="s">
        <v>1054</v>
      </c>
      <c r="C527">
        <v>235</v>
      </c>
      <c r="D527">
        <v>5</v>
      </c>
      <c r="E527" t="s">
        <v>35</v>
      </c>
      <c r="F527">
        <v>1</v>
      </c>
      <c r="G527">
        <v>1188</v>
      </c>
      <c r="H527">
        <v>40</v>
      </c>
      <c r="I527">
        <v>1200</v>
      </c>
      <c r="J527">
        <v>1</v>
      </c>
      <c r="K527">
        <v>0.16200000000000001</v>
      </c>
      <c r="L527">
        <v>3.5</v>
      </c>
      <c r="M527" t="s">
        <v>1055</v>
      </c>
      <c r="N527">
        <v>1</v>
      </c>
    </row>
    <row r="528" spans="1:14" x14ac:dyDescent="0.35">
      <c r="A528">
        <v>284</v>
      </c>
      <c r="B528" t="s">
        <v>1056</v>
      </c>
      <c r="C528">
        <v>234</v>
      </c>
      <c r="D528">
        <v>11</v>
      </c>
      <c r="E528" t="s">
        <v>23</v>
      </c>
      <c r="F528">
        <v>17.5</v>
      </c>
      <c r="G528">
        <v>1188</v>
      </c>
      <c r="H528">
        <v>40</v>
      </c>
      <c r="I528">
        <v>1200</v>
      </c>
      <c r="J528">
        <v>1</v>
      </c>
      <c r="K528">
        <v>0.16200000000000001</v>
      </c>
      <c r="L528">
        <v>3.5</v>
      </c>
      <c r="M528" t="s">
        <v>1057</v>
      </c>
      <c r="N528">
        <v>1</v>
      </c>
    </row>
    <row r="529" spans="1:14" x14ac:dyDescent="0.35">
      <c r="A529">
        <v>283</v>
      </c>
      <c r="B529" t="s">
        <v>1058</v>
      </c>
      <c r="C529">
        <v>233</v>
      </c>
      <c r="D529">
        <v>2</v>
      </c>
      <c r="E529" t="s">
        <v>74</v>
      </c>
      <c r="F529">
        <v>1.2</v>
      </c>
      <c r="G529">
        <v>1189</v>
      </c>
      <c r="H529">
        <v>40</v>
      </c>
      <c r="I529">
        <v>1200</v>
      </c>
      <c r="J529">
        <v>0.92</v>
      </c>
      <c r="K529">
        <v>0.16200000000000001</v>
      </c>
      <c r="L529">
        <v>3.5</v>
      </c>
      <c r="M529" t="s">
        <v>1059</v>
      </c>
      <c r="N529">
        <v>1</v>
      </c>
    </row>
    <row r="530" spans="1:14" x14ac:dyDescent="0.35">
      <c r="A530">
        <v>282</v>
      </c>
      <c r="B530" t="s">
        <v>1060</v>
      </c>
      <c r="C530">
        <v>232</v>
      </c>
      <c r="D530">
        <v>1</v>
      </c>
      <c r="E530" t="s">
        <v>41</v>
      </c>
      <c r="F530">
        <v>2.8</v>
      </c>
      <c r="G530">
        <v>1189</v>
      </c>
      <c r="H530">
        <v>40</v>
      </c>
      <c r="I530">
        <v>1200</v>
      </c>
      <c r="J530">
        <v>0.92</v>
      </c>
      <c r="K530">
        <v>0.16200000000000001</v>
      </c>
      <c r="L530">
        <v>3.5</v>
      </c>
      <c r="M530" t="s">
        <v>1061</v>
      </c>
      <c r="N530">
        <v>1</v>
      </c>
    </row>
    <row r="531" spans="1:14" x14ac:dyDescent="0.35">
      <c r="A531">
        <v>281</v>
      </c>
      <c r="B531" t="s">
        <v>1062</v>
      </c>
      <c r="C531">
        <v>231</v>
      </c>
      <c r="D531">
        <v>8</v>
      </c>
      <c r="E531" t="s">
        <v>38</v>
      </c>
      <c r="F531">
        <v>2.1</v>
      </c>
      <c r="G531">
        <v>1190</v>
      </c>
      <c r="H531">
        <v>40</v>
      </c>
      <c r="I531">
        <v>1200</v>
      </c>
      <c r="J531">
        <v>0.83</v>
      </c>
      <c r="K531">
        <v>0.16200000000000001</v>
      </c>
      <c r="L531">
        <v>3.5</v>
      </c>
      <c r="M531" t="s">
        <v>1063</v>
      </c>
      <c r="N531">
        <v>1</v>
      </c>
    </row>
    <row r="532" spans="1:14" x14ac:dyDescent="0.35">
      <c r="A532">
        <v>280</v>
      </c>
      <c r="B532" t="s">
        <v>1064</v>
      </c>
      <c r="C532">
        <v>230</v>
      </c>
      <c r="D532">
        <v>7</v>
      </c>
      <c r="E532" t="s">
        <v>17</v>
      </c>
      <c r="F532">
        <v>2.8</v>
      </c>
      <c r="G532">
        <v>1188</v>
      </c>
      <c r="H532">
        <v>40</v>
      </c>
      <c r="I532">
        <v>1200</v>
      </c>
      <c r="J532">
        <v>1</v>
      </c>
      <c r="K532">
        <v>0.16200000000000001</v>
      </c>
      <c r="L532">
        <v>3.5</v>
      </c>
      <c r="M532" t="s">
        <v>1065</v>
      </c>
      <c r="N532">
        <v>1</v>
      </c>
    </row>
    <row r="533" spans="1:14" x14ac:dyDescent="0.35">
      <c r="A533">
        <v>279</v>
      </c>
      <c r="B533" t="s">
        <v>1066</v>
      </c>
      <c r="C533">
        <v>229</v>
      </c>
      <c r="D533">
        <v>6</v>
      </c>
      <c r="E533" t="s">
        <v>14</v>
      </c>
      <c r="F533">
        <v>1.2</v>
      </c>
      <c r="G533">
        <v>1189</v>
      </c>
      <c r="H533">
        <v>40</v>
      </c>
      <c r="I533">
        <v>1200</v>
      </c>
      <c r="J533">
        <v>0.92</v>
      </c>
      <c r="K533">
        <v>0.16200000000000001</v>
      </c>
      <c r="L533">
        <v>3.5</v>
      </c>
      <c r="M533" t="s">
        <v>1067</v>
      </c>
      <c r="N533">
        <v>1</v>
      </c>
    </row>
    <row r="534" spans="1:14" x14ac:dyDescent="0.35">
      <c r="A534">
        <v>278</v>
      </c>
      <c r="B534" t="s">
        <v>1068</v>
      </c>
      <c r="C534">
        <v>228</v>
      </c>
      <c r="D534">
        <v>3</v>
      </c>
      <c r="E534" t="s">
        <v>20</v>
      </c>
      <c r="F534">
        <v>1.2</v>
      </c>
      <c r="G534">
        <v>1189</v>
      </c>
      <c r="H534">
        <v>40</v>
      </c>
      <c r="I534">
        <v>1200</v>
      </c>
      <c r="J534">
        <v>0.92</v>
      </c>
      <c r="K534">
        <v>0.16200000000000001</v>
      </c>
      <c r="L534">
        <v>3.5</v>
      </c>
      <c r="M534" t="s">
        <v>1069</v>
      </c>
      <c r="N534">
        <v>1</v>
      </c>
    </row>
    <row r="535" spans="1:14" x14ac:dyDescent="0.35">
      <c r="A535">
        <v>277</v>
      </c>
      <c r="B535" t="s">
        <v>1070</v>
      </c>
      <c r="C535">
        <v>227</v>
      </c>
      <c r="D535">
        <v>11</v>
      </c>
      <c r="E535" t="s">
        <v>23</v>
      </c>
      <c r="F535">
        <v>24.7</v>
      </c>
      <c r="G535">
        <v>1190</v>
      </c>
      <c r="H535">
        <v>40</v>
      </c>
      <c r="I535">
        <v>1200</v>
      </c>
      <c r="J535">
        <v>0.83</v>
      </c>
      <c r="K535">
        <v>0.16200000000000001</v>
      </c>
      <c r="L535">
        <v>3.5</v>
      </c>
      <c r="M535" t="s">
        <v>1071</v>
      </c>
      <c r="N535">
        <v>1</v>
      </c>
    </row>
    <row r="536" spans="1:14" x14ac:dyDescent="0.35">
      <c r="A536">
        <v>276</v>
      </c>
      <c r="B536" t="s">
        <v>1072</v>
      </c>
      <c r="C536">
        <v>226</v>
      </c>
      <c r="D536">
        <v>1</v>
      </c>
      <c r="E536" t="s">
        <v>41</v>
      </c>
      <c r="F536">
        <v>2.8</v>
      </c>
      <c r="G536">
        <v>1186</v>
      </c>
      <c r="H536">
        <v>40</v>
      </c>
      <c r="I536">
        <v>1200</v>
      </c>
      <c r="J536">
        <v>1.17</v>
      </c>
      <c r="K536">
        <v>0.161</v>
      </c>
      <c r="L536">
        <v>3.5</v>
      </c>
      <c r="M536" t="s">
        <v>1073</v>
      </c>
      <c r="N536">
        <v>1</v>
      </c>
    </row>
    <row r="537" spans="1:14" x14ac:dyDescent="0.35">
      <c r="A537">
        <v>275</v>
      </c>
      <c r="B537" t="s">
        <v>1074</v>
      </c>
      <c r="C537">
        <v>225</v>
      </c>
      <c r="D537">
        <v>11</v>
      </c>
      <c r="E537" t="s">
        <v>23</v>
      </c>
      <c r="F537">
        <v>14.6</v>
      </c>
      <c r="G537">
        <v>1192</v>
      </c>
      <c r="H537">
        <v>40</v>
      </c>
      <c r="I537">
        <v>1200</v>
      </c>
      <c r="J537">
        <v>0.67</v>
      </c>
      <c r="K537">
        <v>0.16200000000000001</v>
      </c>
      <c r="L537">
        <v>3.5</v>
      </c>
      <c r="M537" t="s">
        <v>1075</v>
      </c>
      <c r="N537">
        <v>1</v>
      </c>
    </row>
    <row r="538" spans="1:14" x14ac:dyDescent="0.35">
      <c r="A538">
        <v>274</v>
      </c>
      <c r="B538" t="s">
        <v>1076</v>
      </c>
      <c r="C538">
        <v>224</v>
      </c>
      <c r="D538">
        <v>6</v>
      </c>
      <c r="E538" t="s">
        <v>14</v>
      </c>
      <c r="F538">
        <v>1.1000000000000001</v>
      </c>
      <c r="G538">
        <v>1189</v>
      </c>
      <c r="H538">
        <v>40</v>
      </c>
      <c r="I538">
        <v>1200</v>
      </c>
      <c r="J538">
        <v>0.92</v>
      </c>
      <c r="K538">
        <v>0.16200000000000001</v>
      </c>
      <c r="L538">
        <v>3.5</v>
      </c>
      <c r="M538" t="s">
        <v>1077</v>
      </c>
      <c r="N538">
        <v>1</v>
      </c>
    </row>
    <row r="539" spans="1:14" x14ac:dyDescent="0.35">
      <c r="A539">
        <v>273</v>
      </c>
      <c r="B539" t="s">
        <v>1078</v>
      </c>
      <c r="C539">
        <v>223</v>
      </c>
      <c r="D539">
        <v>11</v>
      </c>
      <c r="E539" t="s">
        <v>23</v>
      </c>
      <c r="F539">
        <v>13.5</v>
      </c>
      <c r="G539">
        <v>1189</v>
      </c>
      <c r="H539">
        <v>40</v>
      </c>
      <c r="I539">
        <v>1200</v>
      </c>
      <c r="J539">
        <v>0.92</v>
      </c>
      <c r="K539">
        <v>0.16200000000000001</v>
      </c>
      <c r="L539">
        <v>3.5</v>
      </c>
      <c r="M539" t="s">
        <v>1079</v>
      </c>
      <c r="N539">
        <v>1</v>
      </c>
    </row>
    <row r="540" spans="1:14" x14ac:dyDescent="0.35">
      <c r="A540">
        <v>272</v>
      </c>
      <c r="B540" t="s">
        <v>1080</v>
      </c>
      <c r="C540" s="3">
        <v>222</v>
      </c>
      <c r="D540">
        <v>3</v>
      </c>
      <c r="E540" t="s">
        <v>20</v>
      </c>
      <c r="F540">
        <v>2.7</v>
      </c>
      <c r="G540">
        <v>1188</v>
      </c>
      <c r="H540">
        <v>40</v>
      </c>
      <c r="I540">
        <v>1200</v>
      </c>
      <c r="J540">
        <v>1</v>
      </c>
      <c r="K540">
        <v>0.16200000000000001</v>
      </c>
      <c r="L540">
        <v>3.5</v>
      </c>
      <c r="M540" t="s">
        <v>1081</v>
      </c>
      <c r="N540">
        <v>0</v>
      </c>
    </row>
    <row r="541" spans="1:14" x14ac:dyDescent="0.35">
      <c r="A541">
        <v>271</v>
      </c>
      <c r="B541" t="s">
        <v>1082</v>
      </c>
      <c r="C541">
        <v>221</v>
      </c>
      <c r="D541">
        <v>4</v>
      </c>
      <c r="E541" t="s">
        <v>28</v>
      </c>
      <c r="F541">
        <v>2.2999999999999998</v>
      </c>
      <c r="G541">
        <v>1190</v>
      </c>
      <c r="H541">
        <v>40</v>
      </c>
      <c r="I541">
        <v>1200</v>
      </c>
      <c r="J541">
        <v>0.83</v>
      </c>
      <c r="K541">
        <v>0.16200000000000001</v>
      </c>
      <c r="L541">
        <v>3.5</v>
      </c>
      <c r="M541" t="s">
        <v>1083</v>
      </c>
      <c r="N541">
        <v>1</v>
      </c>
    </row>
    <row r="542" spans="1:14" x14ac:dyDescent="0.35">
      <c r="A542">
        <v>270</v>
      </c>
      <c r="B542" t="s">
        <v>1084</v>
      </c>
      <c r="C542">
        <v>220</v>
      </c>
      <c r="D542">
        <v>7</v>
      </c>
      <c r="E542" t="s">
        <v>17</v>
      </c>
      <c r="F542">
        <v>3</v>
      </c>
      <c r="G542">
        <v>1191</v>
      </c>
      <c r="H542">
        <v>40</v>
      </c>
      <c r="I542">
        <v>1200</v>
      </c>
      <c r="J542">
        <v>0.75</v>
      </c>
      <c r="K542">
        <v>0.16200000000000001</v>
      </c>
      <c r="L542">
        <v>3.5</v>
      </c>
      <c r="M542" t="s">
        <v>1085</v>
      </c>
      <c r="N542">
        <v>1</v>
      </c>
    </row>
    <row r="543" spans="1:14" x14ac:dyDescent="0.35">
      <c r="A543">
        <v>269</v>
      </c>
      <c r="B543" t="s">
        <v>1086</v>
      </c>
      <c r="C543">
        <v>219</v>
      </c>
      <c r="D543">
        <v>9</v>
      </c>
      <c r="E543" t="s">
        <v>44</v>
      </c>
      <c r="F543">
        <v>1.1000000000000001</v>
      </c>
      <c r="G543">
        <v>1188</v>
      </c>
      <c r="H543">
        <v>40</v>
      </c>
      <c r="I543">
        <v>1200</v>
      </c>
      <c r="J543">
        <v>1</v>
      </c>
      <c r="K543">
        <v>0.16200000000000001</v>
      </c>
      <c r="L543">
        <v>3.5</v>
      </c>
      <c r="M543" t="s">
        <v>1087</v>
      </c>
      <c r="N543">
        <v>1</v>
      </c>
    </row>
    <row r="544" spans="1:14" x14ac:dyDescent="0.35">
      <c r="A544">
        <v>268</v>
      </c>
      <c r="B544" t="s">
        <v>1088</v>
      </c>
      <c r="C544">
        <v>218</v>
      </c>
      <c r="D544">
        <v>8</v>
      </c>
      <c r="E544" t="s">
        <v>38</v>
      </c>
      <c r="F544">
        <v>2.2999999999999998</v>
      </c>
      <c r="G544">
        <v>1189</v>
      </c>
      <c r="H544">
        <v>40</v>
      </c>
      <c r="I544">
        <v>1200</v>
      </c>
      <c r="J544">
        <v>0.92</v>
      </c>
      <c r="K544">
        <v>0.16200000000000001</v>
      </c>
      <c r="L544">
        <v>3.5</v>
      </c>
      <c r="M544" t="s">
        <v>1089</v>
      </c>
      <c r="N544">
        <v>1</v>
      </c>
    </row>
    <row r="545" spans="1:14" x14ac:dyDescent="0.35">
      <c r="A545">
        <v>267</v>
      </c>
      <c r="B545" t="s">
        <v>1090</v>
      </c>
      <c r="C545">
        <v>217</v>
      </c>
      <c r="D545">
        <v>11</v>
      </c>
      <c r="E545" t="s">
        <v>23</v>
      </c>
      <c r="F545">
        <v>18.899999999999999</v>
      </c>
      <c r="G545">
        <v>1188</v>
      </c>
      <c r="H545">
        <v>40</v>
      </c>
      <c r="I545">
        <v>1200</v>
      </c>
      <c r="J545">
        <v>1</v>
      </c>
      <c r="K545">
        <v>0.16200000000000001</v>
      </c>
      <c r="L545">
        <v>3.5</v>
      </c>
      <c r="M545" t="s">
        <v>1091</v>
      </c>
      <c r="N545">
        <v>1</v>
      </c>
    </row>
    <row r="546" spans="1:14" x14ac:dyDescent="0.35">
      <c r="A546">
        <v>266</v>
      </c>
      <c r="B546" t="s">
        <v>1092</v>
      </c>
      <c r="C546">
        <v>216</v>
      </c>
      <c r="D546">
        <v>7</v>
      </c>
      <c r="E546" t="s">
        <v>17</v>
      </c>
      <c r="F546">
        <v>2.9</v>
      </c>
      <c r="G546">
        <v>1189</v>
      </c>
      <c r="H546">
        <v>40</v>
      </c>
      <c r="I546">
        <v>1200</v>
      </c>
      <c r="J546">
        <v>0.92</v>
      </c>
      <c r="K546">
        <v>0.16200000000000001</v>
      </c>
      <c r="L546">
        <v>3.5</v>
      </c>
      <c r="M546" t="s">
        <v>1093</v>
      </c>
      <c r="N546">
        <v>1</v>
      </c>
    </row>
    <row r="547" spans="1:14" x14ac:dyDescent="0.35">
      <c r="A547">
        <v>265</v>
      </c>
      <c r="B547" t="s">
        <v>1094</v>
      </c>
      <c r="C547">
        <v>215</v>
      </c>
      <c r="D547">
        <v>3</v>
      </c>
      <c r="E547" t="s">
        <v>20</v>
      </c>
      <c r="F547">
        <v>0.9</v>
      </c>
      <c r="G547">
        <v>1187</v>
      </c>
      <c r="H547">
        <v>40</v>
      </c>
      <c r="I547">
        <v>1200</v>
      </c>
      <c r="J547">
        <v>1.08</v>
      </c>
      <c r="K547">
        <v>0.161</v>
      </c>
      <c r="L547">
        <v>3.5</v>
      </c>
      <c r="M547" t="s">
        <v>1095</v>
      </c>
      <c r="N547">
        <v>1</v>
      </c>
    </row>
    <row r="548" spans="1:14" x14ac:dyDescent="0.35">
      <c r="A548">
        <v>264</v>
      </c>
      <c r="B548" t="s">
        <v>1096</v>
      </c>
      <c r="C548">
        <v>214</v>
      </c>
      <c r="D548">
        <v>11</v>
      </c>
      <c r="E548" t="s">
        <v>23</v>
      </c>
      <c r="F548">
        <v>17.7</v>
      </c>
      <c r="G548">
        <v>1188</v>
      </c>
      <c r="H548">
        <v>40</v>
      </c>
      <c r="I548">
        <v>1200</v>
      </c>
      <c r="J548">
        <v>1</v>
      </c>
      <c r="K548">
        <v>0.16200000000000001</v>
      </c>
      <c r="L548">
        <v>3.5</v>
      </c>
      <c r="M548" t="s">
        <v>1097</v>
      </c>
      <c r="N548">
        <v>1</v>
      </c>
    </row>
    <row r="549" spans="1:14" x14ac:dyDescent="0.35">
      <c r="A549">
        <v>263</v>
      </c>
      <c r="B549" t="s">
        <v>1098</v>
      </c>
      <c r="C549">
        <v>213</v>
      </c>
      <c r="D549">
        <v>6</v>
      </c>
      <c r="E549" t="s">
        <v>14</v>
      </c>
      <c r="F549">
        <v>1.2</v>
      </c>
      <c r="G549">
        <v>1187</v>
      </c>
      <c r="H549">
        <v>40</v>
      </c>
      <c r="I549">
        <v>1200</v>
      </c>
      <c r="J549">
        <v>1.08</v>
      </c>
      <c r="K549">
        <v>0.161</v>
      </c>
      <c r="L549">
        <v>3.5</v>
      </c>
      <c r="M549" t="s">
        <v>1099</v>
      </c>
      <c r="N549">
        <v>1</v>
      </c>
    </row>
    <row r="550" spans="1:14" x14ac:dyDescent="0.35">
      <c r="A550">
        <v>262</v>
      </c>
      <c r="B550" t="s">
        <v>1100</v>
      </c>
      <c r="C550">
        <v>212</v>
      </c>
      <c r="D550">
        <v>9</v>
      </c>
      <c r="E550" t="s">
        <v>44</v>
      </c>
      <c r="F550">
        <v>1.4</v>
      </c>
      <c r="G550">
        <v>1188</v>
      </c>
      <c r="H550">
        <v>40</v>
      </c>
      <c r="I550">
        <v>1200</v>
      </c>
      <c r="J550">
        <v>1</v>
      </c>
      <c r="K550">
        <v>0.16200000000000001</v>
      </c>
      <c r="L550">
        <v>3.5</v>
      </c>
      <c r="M550" t="s">
        <v>1101</v>
      </c>
      <c r="N550">
        <v>1</v>
      </c>
    </row>
    <row r="551" spans="1:14" x14ac:dyDescent="0.35">
      <c r="A551">
        <v>261</v>
      </c>
      <c r="B551" t="s">
        <v>1102</v>
      </c>
      <c r="C551">
        <v>211</v>
      </c>
      <c r="D551">
        <v>11</v>
      </c>
      <c r="E551" t="s">
        <v>23</v>
      </c>
      <c r="F551">
        <v>19.899999999999999</v>
      </c>
      <c r="G551">
        <v>1188</v>
      </c>
      <c r="H551">
        <v>40</v>
      </c>
      <c r="I551">
        <v>1200</v>
      </c>
      <c r="J551">
        <v>1</v>
      </c>
      <c r="K551">
        <v>0.16200000000000001</v>
      </c>
      <c r="L551">
        <v>3.5</v>
      </c>
      <c r="M551" t="s">
        <v>1103</v>
      </c>
      <c r="N551">
        <v>1</v>
      </c>
    </row>
    <row r="552" spans="1:14" x14ac:dyDescent="0.35">
      <c r="A552">
        <v>260</v>
      </c>
      <c r="B552" t="s">
        <v>1104</v>
      </c>
      <c r="C552">
        <v>210</v>
      </c>
      <c r="D552">
        <v>11</v>
      </c>
      <c r="E552" t="s">
        <v>23</v>
      </c>
      <c r="F552">
        <v>14.2</v>
      </c>
      <c r="G552">
        <v>1186</v>
      </c>
      <c r="H552">
        <v>40</v>
      </c>
      <c r="I552">
        <v>1200</v>
      </c>
      <c r="J552">
        <v>1.17</v>
      </c>
      <c r="K552">
        <v>0.161</v>
      </c>
      <c r="L552">
        <v>3.5</v>
      </c>
      <c r="M552" t="s">
        <v>1105</v>
      </c>
      <c r="N552">
        <v>1</v>
      </c>
    </row>
    <row r="553" spans="1:14" x14ac:dyDescent="0.35">
      <c r="A553">
        <v>259</v>
      </c>
      <c r="B553" t="s">
        <v>1106</v>
      </c>
      <c r="C553">
        <v>209</v>
      </c>
      <c r="D553">
        <v>11</v>
      </c>
      <c r="E553" t="s">
        <v>23</v>
      </c>
      <c r="F553">
        <v>13.3</v>
      </c>
      <c r="G553">
        <v>1188</v>
      </c>
      <c r="H553">
        <v>40</v>
      </c>
      <c r="I553">
        <v>1200</v>
      </c>
      <c r="J553">
        <v>1</v>
      </c>
      <c r="K553">
        <v>0.16200000000000001</v>
      </c>
      <c r="L553">
        <v>3.5</v>
      </c>
      <c r="M553" t="s">
        <v>1107</v>
      </c>
      <c r="N553">
        <v>1</v>
      </c>
    </row>
    <row r="554" spans="1:14" x14ac:dyDescent="0.35">
      <c r="A554">
        <v>258</v>
      </c>
      <c r="B554" t="s">
        <v>1108</v>
      </c>
      <c r="C554">
        <v>208</v>
      </c>
      <c r="D554">
        <v>8</v>
      </c>
      <c r="E554" t="s">
        <v>38</v>
      </c>
      <c r="F554">
        <v>2.2000000000000002</v>
      </c>
      <c r="G554">
        <v>1190</v>
      </c>
      <c r="H554">
        <v>40</v>
      </c>
      <c r="I554">
        <v>1200</v>
      </c>
      <c r="J554">
        <v>0.83</v>
      </c>
      <c r="K554">
        <v>0.16200000000000001</v>
      </c>
      <c r="L554">
        <v>3.5</v>
      </c>
      <c r="M554" t="s">
        <v>1109</v>
      </c>
      <c r="N554">
        <v>1</v>
      </c>
    </row>
    <row r="555" spans="1:14" x14ac:dyDescent="0.35">
      <c r="A555">
        <v>257</v>
      </c>
      <c r="B555" t="s">
        <v>1110</v>
      </c>
      <c r="C555">
        <v>207</v>
      </c>
      <c r="D555">
        <v>5</v>
      </c>
      <c r="E555" t="s">
        <v>35</v>
      </c>
      <c r="F555">
        <v>1.1000000000000001</v>
      </c>
      <c r="G555">
        <v>1188</v>
      </c>
      <c r="H555">
        <v>40</v>
      </c>
      <c r="I555">
        <v>1200</v>
      </c>
      <c r="J555">
        <v>1</v>
      </c>
      <c r="K555">
        <v>0.16200000000000001</v>
      </c>
      <c r="L555">
        <v>3.5</v>
      </c>
      <c r="M555" t="s">
        <v>1111</v>
      </c>
      <c r="N555">
        <v>1</v>
      </c>
    </row>
    <row r="556" spans="1:14" x14ac:dyDescent="0.35">
      <c r="A556">
        <v>256</v>
      </c>
      <c r="B556" t="s">
        <v>1112</v>
      </c>
      <c r="C556">
        <v>206</v>
      </c>
      <c r="D556">
        <v>7</v>
      </c>
      <c r="E556" t="s">
        <v>17</v>
      </c>
      <c r="F556">
        <v>2.8</v>
      </c>
      <c r="G556">
        <v>1189</v>
      </c>
      <c r="H556">
        <v>40</v>
      </c>
      <c r="I556">
        <v>1200</v>
      </c>
      <c r="J556">
        <v>0.92</v>
      </c>
      <c r="K556">
        <v>0.16200000000000001</v>
      </c>
      <c r="L556">
        <v>3.5</v>
      </c>
      <c r="M556" t="s">
        <v>1113</v>
      </c>
      <c r="N556">
        <v>1</v>
      </c>
    </row>
    <row r="557" spans="1:14" x14ac:dyDescent="0.35">
      <c r="A557">
        <v>255</v>
      </c>
      <c r="B557" t="s">
        <v>1114</v>
      </c>
      <c r="C557">
        <v>205</v>
      </c>
      <c r="D557">
        <v>11</v>
      </c>
      <c r="E557" t="s">
        <v>23</v>
      </c>
      <c r="F557">
        <v>5.0999999999999996</v>
      </c>
      <c r="G557">
        <v>1185</v>
      </c>
      <c r="H557">
        <v>40</v>
      </c>
      <c r="I557">
        <v>1200</v>
      </c>
      <c r="J557">
        <v>1.25</v>
      </c>
      <c r="K557">
        <v>0.161</v>
      </c>
      <c r="L557">
        <v>3.5</v>
      </c>
      <c r="M557" t="s">
        <v>1115</v>
      </c>
      <c r="N557">
        <v>1</v>
      </c>
    </row>
    <row r="558" spans="1:14" x14ac:dyDescent="0.35">
      <c r="A558">
        <v>254</v>
      </c>
      <c r="B558" t="s">
        <v>1116</v>
      </c>
      <c r="C558">
        <v>204</v>
      </c>
      <c r="D558">
        <v>2</v>
      </c>
      <c r="E558" t="s">
        <v>74</v>
      </c>
      <c r="F558">
        <v>1.3</v>
      </c>
      <c r="G558">
        <v>1186</v>
      </c>
      <c r="H558">
        <v>40</v>
      </c>
      <c r="I558">
        <v>1200</v>
      </c>
      <c r="J558">
        <v>1.17</v>
      </c>
      <c r="K558">
        <v>0.161</v>
      </c>
      <c r="L558">
        <v>3.5</v>
      </c>
      <c r="M558" t="s">
        <v>1117</v>
      </c>
      <c r="N558">
        <v>1</v>
      </c>
    </row>
    <row r="559" spans="1:14" x14ac:dyDescent="0.35">
      <c r="A559">
        <v>253</v>
      </c>
      <c r="B559" t="s">
        <v>1118</v>
      </c>
      <c r="C559">
        <v>203</v>
      </c>
      <c r="D559">
        <v>6</v>
      </c>
      <c r="E559" t="s">
        <v>14</v>
      </c>
      <c r="F559">
        <v>1.2</v>
      </c>
      <c r="G559">
        <v>1185</v>
      </c>
      <c r="H559">
        <v>40</v>
      </c>
      <c r="I559">
        <v>1200</v>
      </c>
      <c r="J559">
        <v>1.25</v>
      </c>
      <c r="K559">
        <v>0.161</v>
      </c>
      <c r="L559">
        <v>3.5</v>
      </c>
      <c r="M559" t="s">
        <v>1119</v>
      </c>
      <c r="N559">
        <v>1</v>
      </c>
    </row>
    <row r="560" spans="1:14" x14ac:dyDescent="0.35">
      <c r="A560">
        <v>252</v>
      </c>
      <c r="B560" t="s">
        <v>1120</v>
      </c>
      <c r="C560">
        <v>202</v>
      </c>
      <c r="D560">
        <v>3</v>
      </c>
      <c r="E560" t="s">
        <v>20</v>
      </c>
      <c r="F560">
        <v>1.2</v>
      </c>
      <c r="G560">
        <v>1186</v>
      </c>
      <c r="H560">
        <v>40</v>
      </c>
      <c r="I560">
        <v>1200</v>
      </c>
      <c r="J560">
        <v>1.17</v>
      </c>
      <c r="K560">
        <v>0.161</v>
      </c>
      <c r="L560">
        <v>3.5</v>
      </c>
      <c r="M560" t="s">
        <v>1121</v>
      </c>
      <c r="N560">
        <v>1</v>
      </c>
    </row>
    <row r="561" spans="1:14" x14ac:dyDescent="0.35">
      <c r="A561">
        <v>251</v>
      </c>
      <c r="B561" t="s">
        <v>1122</v>
      </c>
      <c r="C561">
        <v>201</v>
      </c>
      <c r="D561">
        <v>4</v>
      </c>
      <c r="E561" t="s">
        <v>28</v>
      </c>
      <c r="F561">
        <v>2.2999999999999998</v>
      </c>
      <c r="G561">
        <v>1183</v>
      </c>
      <c r="H561">
        <v>40</v>
      </c>
      <c r="I561">
        <v>1200</v>
      </c>
      <c r="J561">
        <v>1.42</v>
      </c>
      <c r="K561">
        <v>0.161</v>
      </c>
      <c r="L561">
        <v>3.5</v>
      </c>
      <c r="M561" t="s">
        <v>1123</v>
      </c>
      <c r="N561">
        <v>1</v>
      </c>
    </row>
    <row r="562" spans="1:14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x14ac:dyDescent="0.35">
      <c r="A563">
        <v>200</v>
      </c>
      <c r="B563" t="s">
        <v>1124</v>
      </c>
      <c r="C563">
        <v>200</v>
      </c>
      <c r="D563">
        <v>11</v>
      </c>
      <c r="E563" t="s">
        <v>23</v>
      </c>
      <c r="F563">
        <v>17.5</v>
      </c>
      <c r="G563">
        <v>1038</v>
      </c>
      <c r="H563">
        <v>35</v>
      </c>
      <c r="I563">
        <v>1050</v>
      </c>
      <c r="J563">
        <v>1.1399999999999999</v>
      </c>
      <c r="K563">
        <v>0.13700000000000001</v>
      </c>
      <c r="L563">
        <v>4</v>
      </c>
      <c r="M563" t="s">
        <v>1125</v>
      </c>
      <c r="N563">
        <v>1</v>
      </c>
    </row>
    <row r="564" spans="1:14" x14ac:dyDescent="0.35">
      <c r="A564">
        <v>199</v>
      </c>
      <c r="B564" t="s">
        <v>1126</v>
      </c>
      <c r="C564">
        <v>199</v>
      </c>
      <c r="D564">
        <v>2</v>
      </c>
      <c r="E564" t="s">
        <v>74</v>
      </c>
      <c r="F564">
        <v>1.4</v>
      </c>
      <c r="G564">
        <v>1040</v>
      </c>
      <c r="H564">
        <v>35</v>
      </c>
      <c r="I564">
        <v>1050</v>
      </c>
      <c r="J564">
        <v>0.95</v>
      </c>
      <c r="K564">
        <v>0.13800000000000001</v>
      </c>
      <c r="L564">
        <v>4</v>
      </c>
      <c r="M564" t="s">
        <v>1127</v>
      </c>
      <c r="N564">
        <v>1</v>
      </c>
    </row>
    <row r="565" spans="1:14" x14ac:dyDescent="0.35">
      <c r="A565">
        <v>198</v>
      </c>
      <c r="B565" t="s">
        <v>1128</v>
      </c>
      <c r="C565">
        <v>198</v>
      </c>
      <c r="D565">
        <v>11</v>
      </c>
      <c r="E565" t="s">
        <v>23</v>
      </c>
      <c r="F565">
        <v>24</v>
      </c>
      <c r="G565">
        <v>1039</v>
      </c>
      <c r="H565">
        <v>35</v>
      </c>
      <c r="I565">
        <v>1050</v>
      </c>
      <c r="J565">
        <v>1.05</v>
      </c>
      <c r="K565">
        <v>0.13800000000000001</v>
      </c>
      <c r="L565">
        <v>4</v>
      </c>
      <c r="M565" t="s">
        <v>1129</v>
      </c>
      <c r="N565">
        <v>1</v>
      </c>
    </row>
    <row r="566" spans="1:14" x14ac:dyDescent="0.35">
      <c r="A566">
        <v>197</v>
      </c>
      <c r="B566" t="s">
        <v>1130</v>
      </c>
      <c r="C566">
        <v>197</v>
      </c>
      <c r="D566">
        <v>8</v>
      </c>
      <c r="E566" t="s">
        <v>38</v>
      </c>
      <c r="F566">
        <v>2.2999999999999998</v>
      </c>
      <c r="G566">
        <v>1038</v>
      </c>
      <c r="H566">
        <v>35</v>
      </c>
      <c r="I566">
        <v>1050</v>
      </c>
      <c r="J566">
        <v>1.1399999999999999</v>
      </c>
      <c r="K566">
        <v>0.13700000000000001</v>
      </c>
      <c r="L566">
        <v>4</v>
      </c>
      <c r="M566" t="s">
        <v>1131</v>
      </c>
      <c r="N566">
        <v>1</v>
      </c>
    </row>
    <row r="567" spans="1:14" x14ac:dyDescent="0.35">
      <c r="A567">
        <v>196</v>
      </c>
      <c r="B567" t="s">
        <v>1132</v>
      </c>
      <c r="C567">
        <v>196</v>
      </c>
      <c r="D567">
        <v>4</v>
      </c>
      <c r="E567" t="s">
        <v>28</v>
      </c>
      <c r="F567">
        <v>2.2999999999999998</v>
      </c>
      <c r="G567">
        <v>1040</v>
      </c>
      <c r="H567">
        <v>35</v>
      </c>
      <c r="I567">
        <v>1050</v>
      </c>
      <c r="J567">
        <v>0.95</v>
      </c>
      <c r="K567">
        <v>0.13900000000000001</v>
      </c>
      <c r="L567">
        <v>4</v>
      </c>
      <c r="M567" t="s">
        <v>1133</v>
      </c>
      <c r="N567">
        <v>1</v>
      </c>
    </row>
    <row r="568" spans="1:14" x14ac:dyDescent="0.35">
      <c r="A568">
        <v>195</v>
      </c>
      <c r="B568" t="s">
        <v>1134</v>
      </c>
      <c r="C568">
        <v>195</v>
      </c>
      <c r="D568">
        <v>2</v>
      </c>
      <c r="E568" t="s">
        <v>74</v>
      </c>
      <c r="F568">
        <v>1.4</v>
      </c>
      <c r="G568">
        <v>1039</v>
      </c>
      <c r="H568">
        <v>35</v>
      </c>
      <c r="I568">
        <v>1050</v>
      </c>
      <c r="J568">
        <v>1.05</v>
      </c>
      <c r="K568">
        <v>0.14000000000000001</v>
      </c>
      <c r="L568">
        <v>4</v>
      </c>
      <c r="M568" t="s">
        <v>1135</v>
      </c>
      <c r="N568">
        <v>1</v>
      </c>
    </row>
    <row r="569" spans="1:14" x14ac:dyDescent="0.35">
      <c r="A569">
        <v>194</v>
      </c>
      <c r="B569" t="s">
        <v>1136</v>
      </c>
      <c r="C569">
        <v>194</v>
      </c>
      <c r="D569">
        <v>11</v>
      </c>
      <c r="E569" t="s">
        <v>23</v>
      </c>
      <c r="F569">
        <v>13.8</v>
      </c>
      <c r="G569">
        <v>1039</v>
      </c>
      <c r="H569">
        <v>35</v>
      </c>
      <c r="I569">
        <v>1050</v>
      </c>
      <c r="J569">
        <v>1.05</v>
      </c>
      <c r="K569">
        <v>0.13900000000000001</v>
      </c>
      <c r="L569">
        <v>4</v>
      </c>
      <c r="M569" t="s">
        <v>1137</v>
      </c>
      <c r="N569">
        <v>1</v>
      </c>
    </row>
    <row r="570" spans="1:14" x14ac:dyDescent="0.35">
      <c r="A570">
        <v>193</v>
      </c>
      <c r="B570" t="s">
        <v>1138</v>
      </c>
      <c r="C570">
        <v>193</v>
      </c>
      <c r="D570">
        <v>1</v>
      </c>
      <c r="E570" t="s">
        <v>41</v>
      </c>
      <c r="F570">
        <v>2.8</v>
      </c>
      <c r="G570">
        <v>1038</v>
      </c>
      <c r="H570">
        <v>35</v>
      </c>
      <c r="I570">
        <v>1050</v>
      </c>
      <c r="J570">
        <v>1.1399999999999999</v>
      </c>
      <c r="K570">
        <v>0.13800000000000001</v>
      </c>
      <c r="L570">
        <v>4</v>
      </c>
      <c r="M570" t="s">
        <v>1139</v>
      </c>
      <c r="N570">
        <v>1</v>
      </c>
    </row>
    <row r="571" spans="1:14" x14ac:dyDescent="0.35">
      <c r="A571">
        <v>192</v>
      </c>
      <c r="B571" t="s">
        <v>1140</v>
      </c>
      <c r="C571">
        <v>192</v>
      </c>
      <c r="D571">
        <v>11</v>
      </c>
      <c r="E571" t="s">
        <v>23</v>
      </c>
      <c r="F571">
        <v>20.399999999999999</v>
      </c>
      <c r="G571">
        <v>1040</v>
      </c>
      <c r="H571">
        <v>35</v>
      </c>
      <c r="I571">
        <v>1050</v>
      </c>
      <c r="J571">
        <v>0.95</v>
      </c>
      <c r="K571">
        <v>0.13900000000000001</v>
      </c>
      <c r="L571">
        <v>4</v>
      </c>
      <c r="M571" t="s">
        <v>1141</v>
      </c>
      <c r="N571">
        <v>1</v>
      </c>
    </row>
    <row r="572" spans="1:14" x14ac:dyDescent="0.35">
      <c r="A572">
        <v>191</v>
      </c>
      <c r="B572" t="s">
        <v>1142</v>
      </c>
      <c r="C572">
        <v>191</v>
      </c>
      <c r="D572">
        <v>11</v>
      </c>
      <c r="E572" t="s">
        <v>23</v>
      </c>
      <c r="F572">
        <v>14.3</v>
      </c>
      <c r="G572">
        <v>1041</v>
      </c>
      <c r="H572">
        <v>35</v>
      </c>
      <c r="I572">
        <v>1050</v>
      </c>
      <c r="J572">
        <v>0.86</v>
      </c>
      <c r="K572">
        <v>0.13900000000000001</v>
      </c>
      <c r="L572">
        <v>4</v>
      </c>
      <c r="M572" t="s">
        <v>1143</v>
      </c>
      <c r="N572">
        <v>1</v>
      </c>
    </row>
    <row r="573" spans="1:14" x14ac:dyDescent="0.35">
      <c r="A573">
        <v>190</v>
      </c>
      <c r="B573" t="s">
        <v>1144</v>
      </c>
      <c r="C573" s="3">
        <v>190</v>
      </c>
      <c r="D573">
        <v>3</v>
      </c>
      <c r="E573" t="s">
        <v>20</v>
      </c>
      <c r="F573">
        <v>3</v>
      </c>
      <c r="G573">
        <v>1040</v>
      </c>
      <c r="H573">
        <v>35</v>
      </c>
      <c r="I573">
        <v>1050</v>
      </c>
      <c r="J573">
        <v>0.95</v>
      </c>
      <c r="K573">
        <v>0.13900000000000001</v>
      </c>
      <c r="L573">
        <v>4</v>
      </c>
      <c r="M573" t="s">
        <v>1145</v>
      </c>
      <c r="N573">
        <v>0</v>
      </c>
    </row>
    <row r="574" spans="1:14" x14ac:dyDescent="0.35">
      <c r="A574">
        <v>189</v>
      </c>
      <c r="B574" t="s">
        <v>1146</v>
      </c>
      <c r="C574">
        <v>189</v>
      </c>
      <c r="D574">
        <v>9</v>
      </c>
      <c r="E574" t="s">
        <v>44</v>
      </c>
      <c r="F574">
        <v>1.3</v>
      </c>
      <c r="G574">
        <v>1041</v>
      </c>
      <c r="H574">
        <v>35</v>
      </c>
      <c r="I574">
        <v>1050</v>
      </c>
      <c r="J574">
        <v>0.86</v>
      </c>
      <c r="K574">
        <v>0.13900000000000001</v>
      </c>
      <c r="L574">
        <v>4</v>
      </c>
      <c r="M574" t="s">
        <v>1147</v>
      </c>
      <c r="N574">
        <v>1</v>
      </c>
    </row>
    <row r="575" spans="1:14" x14ac:dyDescent="0.35">
      <c r="A575">
        <v>188</v>
      </c>
      <c r="B575" t="s">
        <v>1148</v>
      </c>
      <c r="C575">
        <v>188</v>
      </c>
      <c r="D575">
        <v>11</v>
      </c>
      <c r="E575" t="s">
        <v>23</v>
      </c>
      <c r="F575">
        <v>24.2</v>
      </c>
      <c r="G575">
        <v>1039</v>
      </c>
      <c r="H575">
        <v>35</v>
      </c>
      <c r="I575">
        <v>1050</v>
      </c>
      <c r="J575">
        <v>1.05</v>
      </c>
      <c r="K575">
        <v>0.13900000000000001</v>
      </c>
      <c r="L575">
        <v>4</v>
      </c>
      <c r="M575" t="s">
        <v>1149</v>
      </c>
      <c r="N575">
        <v>1</v>
      </c>
    </row>
    <row r="576" spans="1:14" x14ac:dyDescent="0.35">
      <c r="A576">
        <v>187</v>
      </c>
      <c r="B576" t="s">
        <v>1150</v>
      </c>
      <c r="C576">
        <v>187</v>
      </c>
      <c r="D576">
        <v>11</v>
      </c>
      <c r="E576" t="s">
        <v>23</v>
      </c>
      <c r="F576">
        <v>14.3</v>
      </c>
      <c r="G576">
        <v>1039</v>
      </c>
      <c r="H576">
        <v>35</v>
      </c>
      <c r="I576">
        <v>1050</v>
      </c>
      <c r="J576">
        <v>1.05</v>
      </c>
      <c r="K576">
        <v>0.13900000000000001</v>
      </c>
      <c r="L576">
        <v>4</v>
      </c>
      <c r="M576" t="s">
        <v>1151</v>
      </c>
      <c r="N576">
        <v>1</v>
      </c>
    </row>
    <row r="577" spans="1:14" x14ac:dyDescent="0.35">
      <c r="A577">
        <v>186</v>
      </c>
      <c r="B577" t="s">
        <v>1152</v>
      </c>
      <c r="C577">
        <v>186</v>
      </c>
      <c r="D577">
        <v>6</v>
      </c>
      <c r="E577" t="s">
        <v>14</v>
      </c>
      <c r="F577">
        <v>1.2</v>
      </c>
      <c r="G577">
        <v>1042</v>
      </c>
      <c r="H577">
        <v>35</v>
      </c>
      <c r="I577">
        <v>1050</v>
      </c>
      <c r="J577">
        <v>0.76</v>
      </c>
      <c r="K577">
        <v>0.13900000000000001</v>
      </c>
      <c r="L577">
        <v>4</v>
      </c>
      <c r="M577" t="s">
        <v>1153</v>
      </c>
      <c r="N577">
        <v>1</v>
      </c>
    </row>
    <row r="578" spans="1:14" x14ac:dyDescent="0.35">
      <c r="A578">
        <v>185</v>
      </c>
      <c r="B578" t="s">
        <v>1154</v>
      </c>
      <c r="C578">
        <v>185</v>
      </c>
      <c r="D578">
        <v>8</v>
      </c>
      <c r="E578" t="s">
        <v>38</v>
      </c>
      <c r="F578">
        <v>2.2000000000000002</v>
      </c>
      <c r="G578">
        <v>1039</v>
      </c>
      <c r="H578">
        <v>35</v>
      </c>
      <c r="I578">
        <v>1050</v>
      </c>
      <c r="J578">
        <v>1.05</v>
      </c>
      <c r="K578">
        <v>0.13900000000000001</v>
      </c>
      <c r="L578">
        <v>4</v>
      </c>
      <c r="M578" t="s">
        <v>1155</v>
      </c>
      <c r="N578">
        <v>1</v>
      </c>
    </row>
    <row r="579" spans="1:14" x14ac:dyDescent="0.35">
      <c r="A579">
        <v>184</v>
      </c>
      <c r="B579" t="s">
        <v>1156</v>
      </c>
      <c r="C579">
        <v>184</v>
      </c>
      <c r="D579">
        <v>4</v>
      </c>
      <c r="E579" t="s">
        <v>28</v>
      </c>
      <c r="F579">
        <v>2.2999999999999998</v>
      </c>
      <c r="G579">
        <v>1039</v>
      </c>
      <c r="H579">
        <v>35</v>
      </c>
      <c r="I579">
        <v>1050</v>
      </c>
      <c r="J579">
        <v>1.05</v>
      </c>
      <c r="K579">
        <v>0.13800000000000001</v>
      </c>
      <c r="L579">
        <v>4</v>
      </c>
      <c r="M579" t="s">
        <v>1157</v>
      </c>
      <c r="N579">
        <v>1</v>
      </c>
    </row>
    <row r="580" spans="1:14" x14ac:dyDescent="0.35">
      <c r="A580">
        <v>183</v>
      </c>
      <c r="B580" t="s">
        <v>1158</v>
      </c>
      <c r="C580">
        <v>183</v>
      </c>
      <c r="D580">
        <v>3</v>
      </c>
      <c r="E580" t="s">
        <v>20</v>
      </c>
      <c r="F580">
        <v>1</v>
      </c>
      <c r="G580">
        <v>1038</v>
      </c>
      <c r="H580">
        <v>35</v>
      </c>
      <c r="I580">
        <v>1050</v>
      </c>
      <c r="J580">
        <v>1.1399999999999999</v>
      </c>
      <c r="K580">
        <v>0.13900000000000001</v>
      </c>
      <c r="L580">
        <v>4</v>
      </c>
      <c r="M580" t="s">
        <v>1159</v>
      </c>
      <c r="N580">
        <v>1</v>
      </c>
    </row>
    <row r="581" spans="1:14" x14ac:dyDescent="0.35">
      <c r="A581">
        <v>182</v>
      </c>
      <c r="B581" t="s">
        <v>1160</v>
      </c>
      <c r="C581">
        <v>182</v>
      </c>
      <c r="D581">
        <v>1</v>
      </c>
      <c r="E581" t="s">
        <v>41</v>
      </c>
      <c r="F581">
        <v>2.8</v>
      </c>
      <c r="G581">
        <v>1041</v>
      </c>
      <c r="H581">
        <v>35</v>
      </c>
      <c r="I581">
        <v>1050</v>
      </c>
      <c r="J581">
        <v>0.86</v>
      </c>
      <c r="K581">
        <v>0.13800000000000001</v>
      </c>
      <c r="L581">
        <v>4</v>
      </c>
      <c r="M581" t="s">
        <v>1161</v>
      </c>
      <c r="N581">
        <v>1</v>
      </c>
    </row>
    <row r="582" spans="1:14" x14ac:dyDescent="0.35">
      <c r="A582">
        <v>181</v>
      </c>
      <c r="B582" t="s">
        <v>1162</v>
      </c>
      <c r="C582">
        <v>181</v>
      </c>
      <c r="D582">
        <v>7</v>
      </c>
      <c r="E582" t="s">
        <v>17</v>
      </c>
      <c r="F582">
        <v>2.9</v>
      </c>
      <c r="G582">
        <v>1041</v>
      </c>
      <c r="H582">
        <v>35</v>
      </c>
      <c r="I582">
        <v>1050</v>
      </c>
      <c r="J582">
        <v>0.86</v>
      </c>
      <c r="K582">
        <v>0.13800000000000001</v>
      </c>
      <c r="L582">
        <v>4</v>
      </c>
      <c r="M582" t="s">
        <v>1163</v>
      </c>
      <c r="N582">
        <v>1</v>
      </c>
    </row>
    <row r="583" spans="1:14" x14ac:dyDescent="0.35">
      <c r="A583">
        <v>180</v>
      </c>
      <c r="B583" t="s">
        <v>1164</v>
      </c>
      <c r="C583">
        <v>180</v>
      </c>
      <c r="D583">
        <v>4</v>
      </c>
      <c r="E583" t="s">
        <v>28</v>
      </c>
      <c r="F583">
        <v>2.2000000000000002</v>
      </c>
      <c r="G583">
        <v>1038</v>
      </c>
      <c r="H583">
        <v>35</v>
      </c>
      <c r="I583">
        <v>1050</v>
      </c>
      <c r="J583">
        <v>1.1399999999999999</v>
      </c>
      <c r="K583">
        <v>0.13900000000000001</v>
      </c>
      <c r="L583">
        <v>4</v>
      </c>
      <c r="M583" t="s">
        <v>1165</v>
      </c>
      <c r="N583">
        <v>1</v>
      </c>
    </row>
    <row r="584" spans="1:14" x14ac:dyDescent="0.35">
      <c r="A584">
        <v>179</v>
      </c>
      <c r="B584" t="s">
        <v>1166</v>
      </c>
      <c r="C584">
        <v>179</v>
      </c>
      <c r="D584">
        <v>11</v>
      </c>
      <c r="E584" t="s">
        <v>23</v>
      </c>
      <c r="F584">
        <v>20.3</v>
      </c>
      <c r="G584">
        <v>1041</v>
      </c>
      <c r="H584">
        <v>35</v>
      </c>
      <c r="I584">
        <v>1050</v>
      </c>
      <c r="J584">
        <v>0.86</v>
      </c>
      <c r="K584">
        <v>0.14000000000000001</v>
      </c>
      <c r="L584">
        <v>4</v>
      </c>
      <c r="M584" t="s">
        <v>1167</v>
      </c>
      <c r="N584">
        <v>1</v>
      </c>
    </row>
    <row r="585" spans="1:14" x14ac:dyDescent="0.35">
      <c r="A585">
        <v>178</v>
      </c>
      <c r="B585" t="s">
        <v>1168</v>
      </c>
      <c r="C585">
        <v>178</v>
      </c>
      <c r="D585">
        <v>9</v>
      </c>
      <c r="E585" t="s">
        <v>44</v>
      </c>
      <c r="F585">
        <v>1.1000000000000001</v>
      </c>
      <c r="G585">
        <v>1042</v>
      </c>
      <c r="H585">
        <v>35</v>
      </c>
      <c r="I585">
        <v>1050</v>
      </c>
      <c r="J585">
        <v>0.76</v>
      </c>
      <c r="K585">
        <v>0.14000000000000001</v>
      </c>
      <c r="L585">
        <v>3.9</v>
      </c>
      <c r="M585" t="s">
        <v>1169</v>
      </c>
      <c r="N585">
        <v>1</v>
      </c>
    </row>
    <row r="586" spans="1:14" x14ac:dyDescent="0.35">
      <c r="A586">
        <v>177</v>
      </c>
      <c r="B586" t="s">
        <v>1170</v>
      </c>
      <c r="C586">
        <v>177</v>
      </c>
      <c r="D586">
        <v>6</v>
      </c>
      <c r="E586" t="s">
        <v>14</v>
      </c>
      <c r="F586">
        <v>1.3</v>
      </c>
      <c r="G586">
        <v>1041</v>
      </c>
      <c r="H586">
        <v>35</v>
      </c>
      <c r="I586">
        <v>1050</v>
      </c>
      <c r="J586">
        <v>0.86</v>
      </c>
      <c r="K586">
        <v>0.13800000000000001</v>
      </c>
      <c r="L586">
        <v>4</v>
      </c>
      <c r="M586" t="s">
        <v>1171</v>
      </c>
      <c r="N586">
        <v>1</v>
      </c>
    </row>
    <row r="587" spans="1:14" x14ac:dyDescent="0.35">
      <c r="A587">
        <v>176</v>
      </c>
      <c r="B587" t="s">
        <v>1172</v>
      </c>
      <c r="C587">
        <v>176</v>
      </c>
      <c r="D587">
        <v>11</v>
      </c>
      <c r="E587" t="s">
        <v>23</v>
      </c>
      <c r="F587">
        <v>20.100000000000001</v>
      </c>
      <c r="G587">
        <v>1039</v>
      </c>
      <c r="H587">
        <v>35</v>
      </c>
      <c r="I587">
        <v>1050</v>
      </c>
      <c r="J587">
        <v>1.05</v>
      </c>
      <c r="K587">
        <v>0.13900000000000001</v>
      </c>
      <c r="L587">
        <v>4.0999999999999996</v>
      </c>
      <c r="M587" t="s">
        <v>1173</v>
      </c>
      <c r="N587">
        <v>1</v>
      </c>
    </row>
    <row r="588" spans="1:14" x14ac:dyDescent="0.35">
      <c r="A588">
        <v>175</v>
      </c>
      <c r="B588" t="s">
        <v>1174</v>
      </c>
      <c r="C588">
        <v>175</v>
      </c>
      <c r="D588">
        <v>3</v>
      </c>
      <c r="E588" t="s">
        <v>20</v>
      </c>
      <c r="F588">
        <v>1.2</v>
      </c>
      <c r="G588">
        <v>1041</v>
      </c>
      <c r="H588">
        <v>35</v>
      </c>
      <c r="I588">
        <v>1050</v>
      </c>
      <c r="J588">
        <v>0.86</v>
      </c>
      <c r="K588">
        <v>0.14000000000000001</v>
      </c>
      <c r="L588">
        <v>4</v>
      </c>
      <c r="M588" t="s">
        <v>1175</v>
      </c>
      <c r="N588">
        <v>1</v>
      </c>
    </row>
    <row r="589" spans="1:14" x14ac:dyDescent="0.35">
      <c r="A589">
        <v>174</v>
      </c>
      <c r="B589" t="s">
        <v>1176</v>
      </c>
      <c r="C589">
        <v>174</v>
      </c>
      <c r="D589">
        <v>11</v>
      </c>
      <c r="E589" t="s">
        <v>23</v>
      </c>
      <c r="F589">
        <v>40.9</v>
      </c>
      <c r="G589">
        <v>1039</v>
      </c>
      <c r="H589">
        <v>35</v>
      </c>
      <c r="I589">
        <v>1050</v>
      </c>
      <c r="J589">
        <v>1.05</v>
      </c>
      <c r="K589">
        <v>0.13900000000000001</v>
      </c>
      <c r="L589">
        <v>4</v>
      </c>
      <c r="M589" t="s">
        <v>1177</v>
      </c>
      <c r="N589">
        <v>1</v>
      </c>
    </row>
    <row r="590" spans="1:14" x14ac:dyDescent="0.35">
      <c r="A590">
        <v>173</v>
      </c>
      <c r="B590" t="s">
        <v>1178</v>
      </c>
      <c r="C590">
        <v>173</v>
      </c>
      <c r="D590">
        <v>9</v>
      </c>
      <c r="E590" t="s">
        <v>44</v>
      </c>
      <c r="F590">
        <v>0.9</v>
      </c>
      <c r="G590">
        <v>1038</v>
      </c>
      <c r="H590">
        <v>35</v>
      </c>
      <c r="I590">
        <v>1050</v>
      </c>
      <c r="J590">
        <v>1.1399999999999999</v>
      </c>
      <c r="K590">
        <v>0.13800000000000001</v>
      </c>
      <c r="L590">
        <v>4</v>
      </c>
      <c r="M590" t="s">
        <v>1179</v>
      </c>
      <c r="N590">
        <v>1</v>
      </c>
    </row>
    <row r="591" spans="1:14" x14ac:dyDescent="0.35">
      <c r="A591">
        <v>172</v>
      </c>
      <c r="B591" t="s">
        <v>1180</v>
      </c>
      <c r="C591">
        <v>172</v>
      </c>
      <c r="D591">
        <v>11</v>
      </c>
      <c r="E591" t="s">
        <v>23</v>
      </c>
      <c r="F591">
        <v>5.3</v>
      </c>
      <c r="G591">
        <v>1039</v>
      </c>
      <c r="H591">
        <v>35</v>
      </c>
      <c r="I591">
        <v>1050</v>
      </c>
      <c r="J591">
        <v>1.05</v>
      </c>
      <c r="K591">
        <v>0.13900000000000001</v>
      </c>
      <c r="L591">
        <v>4</v>
      </c>
      <c r="M591" t="s">
        <v>1181</v>
      </c>
      <c r="N591">
        <v>1</v>
      </c>
    </row>
    <row r="592" spans="1:14" x14ac:dyDescent="0.35">
      <c r="A592">
        <v>171</v>
      </c>
      <c r="B592" t="s">
        <v>1182</v>
      </c>
      <c r="C592">
        <v>171</v>
      </c>
      <c r="D592">
        <v>5</v>
      </c>
      <c r="E592" t="s">
        <v>35</v>
      </c>
      <c r="F592">
        <v>1</v>
      </c>
      <c r="G592">
        <v>1041</v>
      </c>
      <c r="H592">
        <v>35</v>
      </c>
      <c r="I592">
        <v>1050</v>
      </c>
      <c r="J592">
        <v>0.86</v>
      </c>
      <c r="K592">
        <v>0.13900000000000001</v>
      </c>
      <c r="L592">
        <v>4</v>
      </c>
      <c r="M592" t="s">
        <v>1183</v>
      </c>
      <c r="N592">
        <v>1</v>
      </c>
    </row>
    <row r="593" spans="1:14" x14ac:dyDescent="0.35">
      <c r="A593">
        <v>170</v>
      </c>
      <c r="B593" t="s">
        <v>1184</v>
      </c>
      <c r="C593">
        <v>170</v>
      </c>
      <c r="D593">
        <v>11</v>
      </c>
      <c r="E593" t="s">
        <v>23</v>
      </c>
      <c r="F593">
        <v>20.2</v>
      </c>
      <c r="G593">
        <v>1038</v>
      </c>
      <c r="H593">
        <v>35</v>
      </c>
      <c r="I593">
        <v>1050</v>
      </c>
      <c r="J593">
        <v>1.1399999999999999</v>
      </c>
      <c r="K593">
        <v>0.13900000000000001</v>
      </c>
      <c r="L593">
        <v>4</v>
      </c>
      <c r="M593" t="s">
        <v>1185</v>
      </c>
      <c r="N593">
        <v>1</v>
      </c>
    </row>
    <row r="594" spans="1:14" x14ac:dyDescent="0.35">
      <c r="A594">
        <v>169</v>
      </c>
      <c r="B594" t="s">
        <v>1186</v>
      </c>
      <c r="C594">
        <v>169</v>
      </c>
      <c r="D594">
        <v>11</v>
      </c>
      <c r="E594" t="s">
        <v>23</v>
      </c>
      <c r="F594">
        <v>19.100000000000001</v>
      </c>
      <c r="G594">
        <v>1041</v>
      </c>
      <c r="H594">
        <v>35</v>
      </c>
      <c r="I594">
        <v>1050</v>
      </c>
      <c r="J594">
        <v>0.86</v>
      </c>
      <c r="K594">
        <v>0.14000000000000001</v>
      </c>
      <c r="L594">
        <v>4</v>
      </c>
      <c r="M594" t="s">
        <v>1187</v>
      </c>
      <c r="N594">
        <v>1</v>
      </c>
    </row>
    <row r="595" spans="1:14" x14ac:dyDescent="0.35">
      <c r="A595">
        <v>168</v>
      </c>
      <c r="B595" t="s">
        <v>1188</v>
      </c>
      <c r="C595">
        <v>168</v>
      </c>
      <c r="D595">
        <v>11</v>
      </c>
      <c r="E595" t="s">
        <v>23</v>
      </c>
      <c r="F595">
        <v>30.9</v>
      </c>
      <c r="G595">
        <v>1041</v>
      </c>
      <c r="H595">
        <v>35</v>
      </c>
      <c r="I595">
        <v>1050</v>
      </c>
      <c r="J595">
        <v>0.86</v>
      </c>
      <c r="K595">
        <v>0.13900000000000001</v>
      </c>
      <c r="L595">
        <v>4</v>
      </c>
      <c r="M595" t="s">
        <v>1189</v>
      </c>
      <c r="N595">
        <v>1</v>
      </c>
    </row>
    <row r="596" spans="1:14" x14ac:dyDescent="0.35">
      <c r="A596">
        <v>167</v>
      </c>
      <c r="B596" t="s">
        <v>1190</v>
      </c>
      <c r="C596">
        <v>167</v>
      </c>
      <c r="D596">
        <v>11</v>
      </c>
      <c r="E596" t="s">
        <v>23</v>
      </c>
      <c r="F596">
        <v>14.3</v>
      </c>
      <c r="G596">
        <v>1040</v>
      </c>
      <c r="H596">
        <v>35</v>
      </c>
      <c r="I596">
        <v>1050</v>
      </c>
      <c r="J596">
        <v>0.95</v>
      </c>
      <c r="K596">
        <v>0.13900000000000001</v>
      </c>
      <c r="L596">
        <v>4</v>
      </c>
      <c r="M596" t="s">
        <v>1191</v>
      </c>
      <c r="N596">
        <v>1</v>
      </c>
    </row>
    <row r="597" spans="1:14" x14ac:dyDescent="0.35">
      <c r="A597">
        <v>166</v>
      </c>
      <c r="B597" t="s">
        <v>1192</v>
      </c>
      <c r="C597">
        <v>166</v>
      </c>
      <c r="D597">
        <v>11</v>
      </c>
      <c r="E597" t="s">
        <v>23</v>
      </c>
      <c r="F597">
        <v>14.2</v>
      </c>
      <c r="G597">
        <v>1037</v>
      </c>
      <c r="H597">
        <v>35</v>
      </c>
      <c r="I597">
        <v>1050</v>
      </c>
      <c r="J597">
        <v>1.24</v>
      </c>
      <c r="K597">
        <v>0.13900000000000001</v>
      </c>
      <c r="L597">
        <v>4</v>
      </c>
      <c r="M597" t="s">
        <v>1193</v>
      </c>
      <c r="N597">
        <v>1</v>
      </c>
    </row>
    <row r="598" spans="1:14" x14ac:dyDescent="0.35">
      <c r="A598">
        <v>165</v>
      </c>
      <c r="B598" t="s">
        <v>1194</v>
      </c>
      <c r="C598">
        <v>165</v>
      </c>
      <c r="D598">
        <v>8</v>
      </c>
      <c r="E598" t="s">
        <v>38</v>
      </c>
      <c r="F598">
        <v>2.2000000000000002</v>
      </c>
      <c r="G598">
        <v>1041</v>
      </c>
      <c r="H598">
        <v>35</v>
      </c>
      <c r="I598">
        <v>1050</v>
      </c>
      <c r="J598">
        <v>0.86</v>
      </c>
      <c r="K598">
        <v>0.13900000000000001</v>
      </c>
      <c r="L598">
        <v>4</v>
      </c>
      <c r="M598" t="s">
        <v>1195</v>
      </c>
      <c r="N598">
        <v>1</v>
      </c>
    </row>
    <row r="599" spans="1:14" x14ac:dyDescent="0.35">
      <c r="A599">
        <v>164</v>
      </c>
      <c r="B599" t="s">
        <v>1196</v>
      </c>
      <c r="C599">
        <v>164</v>
      </c>
      <c r="D599">
        <v>6</v>
      </c>
      <c r="E599" t="s">
        <v>14</v>
      </c>
      <c r="F599">
        <v>1.4</v>
      </c>
      <c r="G599">
        <v>1041</v>
      </c>
      <c r="H599">
        <v>35</v>
      </c>
      <c r="I599">
        <v>1050</v>
      </c>
      <c r="J599">
        <v>0.86</v>
      </c>
      <c r="K599">
        <v>0.13800000000000001</v>
      </c>
      <c r="L599">
        <v>4</v>
      </c>
      <c r="M599" t="s">
        <v>1197</v>
      </c>
      <c r="N599">
        <v>1</v>
      </c>
    </row>
    <row r="600" spans="1:14" x14ac:dyDescent="0.35">
      <c r="A600">
        <v>163</v>
      </c>
      <c r="B600" t="s">
        <v>1198</v>
      </c>
      <c r="C600">
        <v>163</v>
      </c>
      <c r="D600">
        <v>7</v>
      </c>
      <c r="E600" t="s">
        <v>17</v>
      </c>
      <c r="F600">
        <v>2.8</v>
      </c>
      <c r="G600">
        <v>1039</v>
      </c>
      <c r="H600">
        <v>35</v>
      </c>
      <c r="I600">
        <v>1050</v>
      </c>
      <c r="J600">
        <v>1.05</v>
      </c>
      <c r="K600">
        <v>0.13900000000000001</v>
      </c>
      <c r="L600">
        <v>4</v>
      </c>
      <c r="M600" t="s">
        <v>1199</v>
      </c>
      <c r="N600">
        <v>1</v>
      </c>
    </row>
    <row r="601" spans="1:14" x14ac:dyDescent="0.35">
      <c r="A601">
        <v>162</v>
      </c>
      <c r="B601" t="s">
        <v>1200</v>
      </c>
      <c r="C601">
        <v>162</v>
      </c>
      <c r="D601">
        <v>11</v>
      </c>
      <c r="E601" t="s">
        <v>23</v>
      </c>
      <c r="F601">
        <v>14.1</v>
      </c>
      <c r="G601">
        <v>1041</v>
      </c>
      <c r="H601">
        <v>35</v>
      </c>
      <c r="I601">
        <v>1050</v>
      </c>
      <c r="J601">
        <v>0.86</v>
      </c>
      <c r="K601">
        <v>0.13900000000000001</v>
      </c>
      <c r="L601">
        <v>4</v>
      </c>
      <c r="M601" t="s">
        <v>1201</v>
      </c>
      <c r="N601">
        <v>1</v>
      </c>
    </row>
    <row r="602" spans="1:14" x14ac:dyDescent="0.35">
      <c r="A602">
        <v>161</v>
      </c>
      <c r="B602" t="s">
        <v>1202</v>
      </c>
      <c r="C602">
        <v>161</v>
      </c>
      <c r="D602">
        <v>11</v>
      </c>
      <c r="E602" t="s">
        <v>23</v>
      </c>
      <c r="F602">
        <v>13.4</v>
      </c>
      <c r="G602">
        <v>1039</v>
      </c>
      <c r="H602">
        <v>35</v>
      </c>
      <c r="I602">
        <v>1050</v>
      </c>
      <c r="J602">
        <v>1.05</v>
      </c>
      <c r="K602">
        <v>0.13800000000000001</v>
      </c>
      <c r="L602">
        <v>4</v>
      </c>
      <c r="M602" t="s">
        <v>1203</v>
      </c>
      <c r="N602">
        <v>1</v>
      </c>
    </row>
    <row r="603" spans="1:14" x14ac:dyDescent="0.35">
      <c r="A603">
        <v>160</v>
      </c>
      <c r="B603" t="s">
        <v>1204</v>
      </c>
      <c r="C603">
        <v>160</v>
      </c>
      <c r="D603">
        <v>4</v>
      </c>
      <c r="E603" t="s">
        <v>28</v>
      </c>
      <c r="F603">
        <v>2.2999999999999998</v>
      </c>
      <c r="G603">
        <v>1040</v>
      </c>
      <c r="H603">
        <v>35</v>
      </c>
      <c r="I603">
        <v>1050</v>
      </c>
      <c r="J603">
        <v>0.95</v>
      </c>
      <c r="K603">
        <v>0.13800000000000001</v>
      </c>
      <c r="L603">
        <v>3.9</v>
      </c>
      <c r="M603" t="s">
        <v>1205</v>
      </c>
      <c r="N603">
        <v>1</v>
      </c>
    </row>
    <row r="604" spans="1:14" x14ac:dyDescent="0.35">
      <c r="A604">
        <v>159</v>
      </c>
      <c r="B604" t="s">
        <v>1206</v>
      </c>
      <c r="C604">
        <v>159</v>
      </c>
      <c r="D604">
        <v>1</v>
      </c>
      <c r="E604" t="s">
        <v>41</v>
      </c>
      <c r="F604">
        <v>2.9</v>
      </c>
      <c r="G604">
        <v>1039</v>
      </c>
      <c r="H604">
        <v>35</v>
      </c>
      <c r="I604">
        <v>1050</v>
      </c>
      <c r="J604">
        <v>1.05</v>
      </c>
      <c r="K604">
        <v>0.14000000000000001</v>
      </c>
      <c r="L604">
        <v>4</v>
      </c>
      <c r="M604" t="s">
        <v>1207</v>
      </c>
      <c r="N604">
        <v>1</v>
      </c>
    </row>
    <row r="605" spans="1:14" x14ac:dyDescent="0.35">
      <c r="A605">
        <v>158</v>
      </c>
      <c r="B605" t="s">
        <v>1208</v>
      </c>
      <c r="C605">
        <v>158</v>
      </c>
      <c r="D605">
        <v>11</v>
      </c>
      <c r="E605" t="s">
        <v>23</v>
      </c>
      <c r="F605">
        <v>20.3</v>
      </c>
      <c r="G605">
        <v>1042</v>
      </c>
      <c r="H605">
        <v>35</v>
      </c>
      <c r="I605">
        <v>1050</v>
      </c>
      <c r="J605">
        <v>0.76</v>
      </c>
      <c r="K605">
        <v>0.13900000000000001</v>
      </c>
      <c r="L605">
        <v>4</v>
      </c>
      <c r="M605" t="s">
        <v>1209</v>
      </c>
      <c r="N605">
        <v>1</v>
      </c>
    </row>
    <row r="606" spans="1:14" x14ac:dyDescent="0.35">
      <c r="A606">
        <v>157</v>
      </c>
      <c r="B606" t="s">
        <v>1210</v>
      </c>
      <c r="C606">
        <v>157</v>
      </c>
      <c r="D606">
        <v>11</v>
      </c>
      <c r="E606" t="s">
        <v>23</v>
      </c>
      <c r="F606">
        <v>15.8</v>
      </c>
      <c r="G606">
        <v>1041</v>
      </c>
      <c r="H606">
        <v>35</v>
      </c>
      <c r="I606">
        <v>1050</v>
      </c>
      <c r="J606">
        <v>0.86</v>
      </c>
      <c r="K606">
        <v>0.14000000000000001</v>
      </c>
      <c r="L606">
        <v>3.9</v>
      </c>
      <c r="M606" t="s">
        <v>1211</v>
      </c>
      <c r="N606">
        <v>1</v>
      </c>
    </row>
    <row r="607" spans="1:14" x14ac:dyDescent="0.35">
      <c r="A607">
        <v>156</v>
      </c>
      <c r="B607" t="s">
        <v>1212</v>
      </c>
      <c r="C607">
        <v>156</v>
      </c>
      <c r="D607">
        <v>5</v>
      </c>
      <c r="E607" t="s">
        <v>35</v>
      </c>
      <c r="F607">
        <v>1.2</v>
      </c>
      <c r="G607">
        <v>1039</v>
      </c>
      <c r="H607">
        <v>35</v>
      </c>
      <c r="I607">
        <v>1050</v>
      </c>
      <c r="J607">
        <v>1.05</v>
      </c>
      <c r="K607">
        <v>0.13800000000000001</v>
      </c>
      <c r="L607">
        <v>4</v>
      </c>
      <c r="M607" t="s">
        <v>1213</v>
      </c>
      <c r="N607">
        <v>1</v>
      </c>
    </row>
    <row r="608" spans="1:14" x14ac:dyDescent="0.35">
      <c r="A608">
        <v>155</v>
      </c>
      <c r="B608" t="s">
        <v>1214</v>
      </c>
      <c r="C608">
        <v>155</v>
      </c>
      <c r="D608">
        <v>11</v>
      </c>
      <c r="E608" t="s">
        <v>23</v>
      </c>
      <c r="F608">
        <v>14.3</v>
      </c>
      <c r="G608">
        <v>1038</v>
      </c>
      <c r="H608">
        <v>35</v>
      </c>
      <c r="I608">
        <v>1050</v>
      </c>
      <c r="J608">
        <v>1.1399999999999999</v>
      </c>
      <c r="K608">
        <v>0.14000000000000001</v>
      </c>
      <c r="L608">
        <v>4</v>
      </c>
      <c r="M608" t="s">
        <v>1215</v>
      </c>
      <c r="N608">
        <v>1</v>
      </c>
    </row>
    <row r="609" spans="1:14" x14ac:dyDescent="0.35">
      <c r="A609">
        <v>154</v>
      </c>
      <c r="B609" t="s">
        <v>1216</v>
      </c>
      <c r="C609" s="3">
        <v>154</v>
      </c>
      <c r="D609">
        <v>3</v>
      </c>
      <c r="E609" t="s">
        <v>20</v>
      </c>
      <c r="F609">
        <v>2.9</v>
      </c>
      <c r="G609">
        <v>1040</v>
      </c>
      <c r="H609">
        <v>35</v>
      </c>
      <c r="I609">
        <v>1050</v>
      </c>
      <c r="J609">
        <v>0.95</v>
      </c>
      <c r="K609">
        <v>0.13900000000000001</v>
      </c>
      <c r="L609">
        <v>4</v>
      </c>
      <c r="M609" t="s">
        <v>1217</v>
      </c>
      <c r="N609">
        <v>0</v>
      </c>
    </row>
    <row r="610" spans="1:14" x14ac:dyDescent="0.35">
      <c r="A610">
        <v>153</v>
      </c>
      <c r="B610" t="s">
        <v>1218</v>
      </c>
      <c r="C610">
        <v>153</v>
      </c>
      <c r="D610">
        <v>4</v>
      </c>
      <c r="E610" t="s">
        <v>28</v>
      </c>
      <c r="F610">
        <v>2.2000000000000002</v>
      </c>
      <c r="G610">
        <v>1039</v>
      </c>
      <c r="H610">
        <v>35</v>
      </c>
      <c r="I610">
        <v>1050</v>
      </c>
      <c r="J610">
        <v>1.05</v>
      </c>
      <c r="K610">
        <v>0.13800000000000001</v>
      </c>
      <c r="L610">
        <v>4</v>
      </c>
      <c r="M610" t="s">
        <v>1219</v>
      </c>
      <c r="N610">
        <v>1</v>
      </c>
    </row>
    <row r="611" spans="1:14" x14ac:dyDescent="0.35">
      <c r="A611">
        <v>152</v>
      </c>
      <c r="B611" t="s">
        <v>1220</v>
      </c>
      <c r="C611">
        <v>152</v>
      </c>
      <c r="D611">
        <v>11</v>
      </c>
      <c r="E611" t="s">
        <v>23</v>
      </c>
      <c r="F611">
        <v>17.3</v>
      </c>
      <c r="G611">
        <v>1036</v>
      </c>
      <c r="H611">
        <v>35</v>
      </c>
      <c r="I611">
        <v>1050</v>
      </c>
      <c r="J611">
        <v>1.33</v>
      </c>
      <c r="K611">
        <v>0.13800000000000001</v>
      </c>
      <c r="L611">
        <v>4</v>
      </c>
      <c r="M611" t="s">
        <v>1221</v>
      </c>
      <c r="N611">
        <v>1</v>
      </c>
    </row>
    <row r="612" spans="1:14" x14ac:dyDescent="0.35">
      <c r="A612">
        <v>151</v>
      </c>
      <c r="B612" t="s">
        <v>1222</v>
      </c>
      <c r="C612">
        <v>151</v>
      </c>
      <c r="D612">
        <v>2</v>
      </c>
      <c r="E612" t="s">
        <v>74</v>
      </c>
      <c r="F612">
        <v>1.2</v>
      </c>
      <c r="G612">
        <v>1036</v>
      </c>
      <c r="H612">
        <v>35</v>
      </c>
      <c r="I612">
        <v>1050</v>
      </c>
      <c r="J612">
        <v>1.33</v>
      </c>
      <c r="K612">
        <v>0.13800000000000001</v>
      </c>
      <c r="L612">
        <v>4</v>
      </c>
      <c r="M612" t="s">
        <v>1223</v>
      </c>
      <c r="N612">
        <v>1</v>
      </c>
    </row>
    <row r="613" spans="1:14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x14ac:dyDescent="0.35">
      <c r="A614">
        <v>150</v>
      </c>
      <c r="B614" t="s">
        <v>1224</v>
      </c>
      <c r="C614">
        <v>150</v>
      </c>
      <c r="D614">
        <v>11</v>
      </c>
      <c r="E614" t="s">
        <v>23</v>
      </c>
      <c r="F614">
        <v>19.3</v>
      </c>
      <c r="G614">
        <v>888</v>
      </c>
      <c r="H614">
        <v>30</v>
      </c>
      <c r="I614">
        <v>900</v>
      </c>
      <c r="J614">
        <v>1.33</v>
      </c>
      <c r="K614">
        <v>0.12</v>
      </c>
      <c r="L614">
        <v>4.7</v>
      </c>
      <c r="M614" t="s">
        <v>1225</v>
      </c>
      <c r="N614">
        <v>1</v>
      </c>
    </row>
    <row r="615" spans="1:14" x14ac:dyDescent="0.35">
      <c r="A615">
        <v>149</v>
      </c>
      <c r="B615" t="s">
        <v>1226</v>
      </c>
      <c r="C615">
        <v>149</v>
      </c>
      <c r="D615">
        <v>9</v>
      </c>
      <c r="E615" t="s">
        <v>44</v>
      </c>
      <c r="F615">
        <v>1.2</v>
      </c>
      <c r="G615">
        <v>886</v>
      </c>
      <c r="H615">
        <v>30</v>
      </c>
      <c r="I615">
        <v>900</v>
      </c>
      <c r="J615">
        <v>1.56</v>
      </c>
      <c r="K615">
        <v>0.11799999999999999</v>
      </c>
      <c r="L615">
        <v>4.5999999999999996</v>
      </c>
      <c r="M615" t="s">
        <v>1227</v>
      </c>
      <c r="N615">
        <v>1</v>
      </c>
    </row>
    <row r="616" spans="1:14" x14ac:dyDescent="0.35">
      <c r="A616">
        <v>148</v>
      </c>
      <c r="B616" t="s">
        <v>1228</v>
      </c>
      <c r="C616">
        <v>148</v>
      </c>
      <c r="D616">
        <v>6</v>
      </c>
      <c r="E616" t="s">
        <v>14</v>
      </c>
      <c r="F616">
        <v>1.2</v>
      </c>
      <c r="G616">
        <v>889</v>
      </c>
      <c r="H616">
        <v>30</v>
      </c>
      <c r="I616">
        <v>900</v>
      </c>
      <c r="J616">
        <v>1.22</v>
      </c>
      <c r="K616">
        <v>0.11799999999999999</v>
      </c>
      <c r="L616">
        <v>4.5999999999999996</v>
      </c>
      <c r="M616" t="s">
        <v>1229</v>
      </c>
      <c r="N616">
        <v>1</v>
      </c>
    </row>
    <row r="617" spans="1:14" x14ac:dyDescent="0.35">
      <c r="A617">
        <v>147</v>
      </c>
      <c r="B617" t="s">
        <v>1230</v>
      </c>
      <c r="C617">
        <v>147</v>
      </c>
      <c r="D617">
        <v>2</v>
      </c>
      <c r="E617" t="s">
        <v>74</v>
      </c>
      <c r="F617">
        <v>1.3</v>
      </c>
      <c r="G617">
        <v>889</v>
      </c>
      <c r="H617">
        <v>30</v>
      </c>
      <c r="I617">
        <v>900</v>
      </c>
      <c r="J617">
        <v>1.22</v>
      </c>
      <c r="K617">
        <v>0.12</v>
      </c>
      <c r="L617">
        <v>4.5999999999999996</v>
      </c>
      <c r="M617" t="s">
        <v>1231</v>
      </c>
      <c r="N617">
        <v>1</v>
      </c>
    </row>
    <row r="618" spans="1:14" x14ac:dyDescent="0.35">
      <c r="A618">
        <v>146</v>
      </c>
      <c r="B618" t="s">
        <v>1232</v>
      </c>
      <c r="C618">
        <v>146</v>
      </c>
      <c r="D618">
        <v>11</v>
      </c>
      <c r="E618" t="s">
        <v>23</v>
      </c>
      <c r="F618">
        <v>13.7</v>
      </c>
      <c r="G618">
        <v>887</v>
      </c>
      <c r="H618">
        <v>30</v>
      </c>
      <c r="I618">
        <v>900</v>
      </c>
      <c r="J618">
        <v>1.44</v>
      </c>
      <c r="K618">
        <v>0.11899999999999999</v>
      </c>
      <c r="L618">
        <v>4.5999999999999996</v>
      </c>
      <c r="M618" t="s">
        <v>1233</v>
      </c>
      <c r="N618">
        <v>1</v>
      </c>
    </row>
    <row r="619" spans="1:14" x14ac:dyDescent="0.35">
      <c r="A619">
        <v>145</v>
      </c>
      <c r="B619" t="s">
        <v>1234</v>
      </c>
      <c r="C619">
        <v>145</v>
      </c>
      <c r="D619">
        <v>1</v>
      </c>
      <c r="E619" t="s">
        <v>41</v>
      </c>
      <c r="F619">
        <v>2.9</v>
      </c>
      <c r="G619">
        <v>889</v>
      </c>
      <c r="H619">
        <v>30</v>
      </c>
      <c r="I619">
        <v>900</v>
      </c>
      <c r="J619">
        <v>1.22</v>
      </c>
      <c r="K619">
        <v>0.11899999999999999</v>
      </c>
      <c r="L619">
        <v>4.7</v>
      </c>
      <c r="M619" t="s">
        <v>1235</v>
      </c>
      <c r="N619">
        <v>1</v>
      </c>
    </row>
    <row r="620" spans="1:14" x14ac:dyDescent="0.35">
      <c r="A620">
        <v>144</v>
      </c>
      <c r="B620" t="s">
        <v>1236</v>
      </c>
      <c r="C620">
        <v>144</v>
      </c>
      <c r="D620">
        <v>11</v>
      </c>
      <c r="E620" t="s">
        <v>23</v>
      </c>
      <c r="F620">
        <v>21</v>
      </c>
      <c r="G620">
        <v>886</v>
      </c>
      <c r="H620">
        <v>30</v>
      </c>
      <c r="I620">
        <v>900</v>
      </c>
      <c r="J620">
        <v>1.56</v>
      </c>
      <c r="K620">
        <v>0.11899999999999999</v>
      </c>
      <c r="L620">
        <v>4.5999999999999996</v>
      </c>
      <c r="M620" t="s">
        <v>1237</v>
      </c>
      <c r="N620">
        <v>1</v>
      </c>
    </row>
    <row r="621" spans="1:14" x14ac:dyDescent="0.35">
      <c r="A621">
        <v>143</v>
      </c>
      <c r="B621" t="s">
        <v>1238</v>
      </c>
      <c r="C621">
        <v>143</v>
      </c>
      <c r="D621">
        <v>8</v>
      </c>
      <c r="E621" t="s">
        <v>38</v>
      </c>
      <c r="F621">
        <v>2.2000000000000002</v>
      </c>
      <c r="G621">
        <v>886</v>
      </c>
      <c r="H621">
        <v>30</v>
      </c>
      <c r="I621">
        <v>900</v>
      </c>
      <c r="J621">
        <v>1.56</v>
      </c>
      <c r="K621">
        <v>0.11899999999999999</v>
      </c>
      <c r="L621">
        <v>4.7</v>
      </c>
      <c r="M621" t="s">
        <v>1239</v>
      </c>
      <c r="N621">
        <v>1</v>
      </c>
    </row>
    <row r="622" spans="1:14" x14ac:dyDescent="0.35">
      <c r="A622">
        <v>142</v>
      </c>
      <c r="B622" t="s">
        <v>1240</v>
      </c>
      <c r="C622">
        <v>142</v>
      </c>
      <c r="D622">
        <v>11</v>
      </c>
      <c r="E622" t="s">
        <v>23</v>
      </c>
      <c r="F622">
        <v>5.6</v>
      </c>
      <c r="G622">
        <v>890</v>
      </c>
      <c r="H622">
        <v>30</v>
      </c>
      <c r="I622">
        <v>900</v>
      </c>
      <c r="J622">
        <v>1.1100000000000001</v>
      </c>
      <c r="K622">
        <v>0.11899999999999999</v>
      </c>
      <c r="L622">
        <v>4.5999999999999996</v>
      </c>
      <c r="M622" t="s">
        <v>1241</v>
      </c>
      <c r="N622">
        <v>1</v>
      </c>
    </row>
    <row r="623" spans="1:14" x14ac:dyDescent="0.35">
      <c r="A623">
        <v>141</v>
      </c>
      <c r="B623" t="s">
        <v>1242</v>
      </c>
      <c r="C623">
        <v>141</v>
      </c>
      <c r="D623">
        <v>11</v>
      </c>
      <c r="E623" t="s">
        <v>23</v>
      </c>
      <c r="F623">
        <v>14.8</v>
      </c>
      <c r="G623">
        <v>886</v>
      </c>
      <c r="H623">
        <v>30</v>
      </c>
      <c r="I623">
        <v>900</v>
      </c>
      <c r="J623">
        <v>1.56</v>
      </c>
      <c r="K623">
        <v>0.11799999999999999</v>
      </c>
      <c r="L623">
        <v>4.7</v>
      </c>
      <c r="M623" t="s">
        <v>1243</v>
      </c>
      <c r="N623">
        <v>1</v>
      </c>
    </row>
    <row r="624" spans="1:14" x14ac:dyDescent="0.35">
      <c r="A624">
        <v>140</v>
      </c>
      <c r="B624" t="s">
        <v>1244</v>
      </c>
      <c r="C624">
        <v>140</v>
      </c>
      <c r="D624">
        <v>2</v>
      </c>
      <c r="E624" t="s">
        <v>74</v>
      </c>
      <c r="F624">
        <v>1.2</v>
      </c>
      <c r="G624">
        <v>888</v>
      </c>
      <c r="H624">
        <v>30</v>
      </c>
      <c r="I624">
        <v>900</v>
      </c>
      <c r="J624">
        <v>1.33</v>
      </c>
      <c r="K624">
        <v>0.11899999999999999</v>
      </c>
      <c r="L624">
        <v>4.5999999999999996</v>
      </c>
      <c r="M624" t="s">
        <v>1245</v>
      </c>
      <c r="N624">
        <v>1</v>
      </c>
    </row>
    <row r="625" spans="1:14" x14ac:dyDescent="0.35">
      <c r="A625">
        <v>139</v>
      </c>
      <c r="B625" t="s">
        <v>1246</v>
      </c>
      <c r="C625">
        <v>139</v>
      </c>
      <c r="D625">
        <v>4</v>
      </c>
      <c r="E625" t="s">
        <v>28</v>
      </c>
      <c r="F625">
        <v>2.2999999999999998</v>
      </c>
      <c r="G625">
        <v>888</v>
      </c>
      <c r="H625">
        <v>30</v>
      </c>
      <c r="I625">
        <v>900</v>
      </c>
      <c r="J625">
        <v>1.33</v>
      </c>
      <c r="K625">
        <v>0.11799999999999999</v>
      </c>
      <c r="L625">
        <v>4.7</v>
      </c>
      <c r="M625" t="s">
        <v>1247</v>
      </c>
      <c r="N625">
        <v>1</v>
      </c>
    </row>
    <row r="626" spans="1:14" x14ac:dyDescent="0.35">
      <c r="A626">
        <v>138</v>
      </c>
      <c r="B626" t="s">
        <v>1248</v>
      </c>
      <c r="C626">
        <v>138</v>
      </c>
      <c r="D626">
        <v>11</v>
      </c>
      <c r="E626" t="s">
        <v>23</v>
      </c>
      <c r="F626">
        <v>19.2</v>
      </c>
      <c r="G626">
        <v>886</v>
      </c>
      <c r="H626">
        <v>30</v>
      </c>
      <c r="I626">
        <v>900</v>
      </c>
      <c r="J626">
        <v>1.56</v>
      </c>
      <c r="K626">
        <v>0.12</v>
      </c>
      <c r="L626">
        <v>4.5999999999999996</v>
      </c>
      <c r="M626" t="s">
        <v>1249</v>
      </c>
      <c r="N626">
        <v>1</v>
      </c>
    </row>
    <row r="627" spans="1:14" x14ac:dyDescent="0.35">
      <c r="A627">
        <v>137</v>
      </c>
      <c r="B627" t="s">
        <v>1250</v>
      </c>
      <c r="C627">
        <v>137</v>
      </c>
      <c r="D627">
        <v>11</v>
      </c>
      <c r="E627" t="s">
        <v>23</v>
      </c>
      <c r="F627">
        <v>19.100000000000001</v>
      </c>
      <c r="G627">
        <v>888</v>
      </c>
      <c r="H627">
        <v>30</v>
      </c>
      <c r="I627">
        <v>900</v>
      </c>
      <c r="J627">
        <v>1.33</v>
      </c>
      <c r="K627">
        <v>0.11799999999999999</v>
      </c>
      <c r="L627">
        <v>4.7</v>
      </c>
      <c r="M627" t="s">
        <v>1251</v>
      </c>
      <c r="N627">
        <v>1</v>
      </c>
    </row>
    <row r="628" spans="1:14" x14ac:dyDescent="0.35">
      <c r="A628">
        <v>136</v>
      </c>
      <c r="B628" t="s">
        <v>1252</v>
      </c>
      <c r="C628">
        <v>136</v>
      </c>
      <c r="D628">
        <v>11</v>
      </c>
      <c r="E628" t="s">
        <v>23</v>
      </c>
      <c r="F628">
        <v>15</v>
      </c>
      <c r="G628">
        <v>891</v>
      </c>
      <c r="H628">
        <v>30</v>
      </c>
      <c r="I628">
        <v>900</v>
      </c>
      <c r="J628">
        <v>1</v>
      </c>
      <c r="K628">
        <v>0.11899999999999999</v>
      </c>
      <c r="L628">
        <v>4.7</v>
      </c>
      <c r="M628" t="s">
        <v>1253</v>
      </c>
      <c r="N628">
        <v>1</v>
      </c>
    </row>
    <row r="629" spans="1:14" x14ac:dyDescent="0.35">
      <c r="A629">
        <v>135</v>
      </c>
      <c r="B629" t="s">
        <v>1254</v>
      </c>
      <c r="C629">
        <v>135</v>
      </c>
      <c r="D629">
        <v>11</v>
      </c>
      <c r="E629" t="s">
        <v>23</v>
      </c>
      <c r="F629">
        <v>14.6</v>
      </c>
      <c r="G629">
        <v>888</v>
      </c>
      <c r="H629">
        <v>30</v>
      </c>
      <c r="I629">
        <v>900</v>
      </c>
      <c r="J629">
        <v>1.33</v>
      </c>
      <c r="K629">
        <v>0.11799999999999999</v>
      </c>
      <c r="L629">
        <v>4.5999999999999996</v>
      </c>
      <c r="M629" t="s">
        <v>1255</v>
      </c>
      <c r="N629">
        <v>1</v>
      </c>
    </row>
    <row r="630" spans="1:14" x14ac:dyDescent="0.35">
      <c r="A630">
        <v>134</v>
      </c>
      <c r="B630" t="s">
        <v>1256</v>
      </c>
      <c r="C630">
        <v>134</v>
      </c>
      <c r="D630">
        <v>9</v>
      </c>
      <c r="E630" t="s">
        <v>44</v>
      </c>
      <c r="F630">
        <v>1.2</v>
      </c>
      <c r="G630">
        <v>888</v>
      </c>
      <c r="H630">
        <v>30</v>
      </c>
      <c r="I630">
        <v>900</v>
      </c>
      <c r="J630">
        <v>1.33</v>
      </c>
      <c r="K630">
        <v>0.11899999999999999</v>
      </c>
      <c r="L630">
        <v>4.7</v>
      </c>
      <c r="M630" t="s">
        <v>1257</v>
      </c>
      <c r="N630">
        <v>1</v>
      </c>
    </row>
    <row r="631" spans="1:14" x14ac:dyDescent="0.35">
      <c r="A631">
        <v>133</v>
      </c>
      <c r="B631" t="s">
        <v>1258</v>
      </c>
      <c r="C631">
        <v>133</v>
      </c>
      <c r="D631">
        <v>2</v>
      </c>
      <c r="E631" t="s">
        <v>74</v>
      </c>
      <c r="F631">
        <v>1.3</v>
      </c>
      <c r="G631">
        <v>889</v>
      </c>
      <c r="H631">
        <v>30</v>
      </c>
      <c r="I631">
        <v>900</v>
      </c>
      <c r="J631">
        <v>1.22</v>
      </c>
      <c r="K631">
        <v>0.11799999999999999</v>
      </c>
      <c r="L631">
        <v>4.5999999999999996</v>
      </c>
      <c r="M631" t="s">
        <v>1259</v>
      </c>
      <c r="N631">
        <v>1</v>
      </c>
    </row>
    <row r="632" spans="1:14" x14ac:dyDescent="0.35">
      <c r="A632">
        <v>132</v>
      </c>
      <c r="B632" t="s">
        <v>1260</v>
      </c>
      <c r="C632">
        <v>132</v>
      </c>
      <c r="D632">
        <v>3</v>
      </c>
      <c r="E632" t="s">
        <v>20</v>
      </c>
      <c r="F632">
        <v>1.2</v>
      </c>
      <c r="G632">
        <v>888</v>
      </c>
      <c r="H632">
        <v>30</v>
      </c>
      <c r="I632">
        <v>900</v>
      </c>
      <c r="J632">
        <v>1.33</v>
      </c>
      <c r="K632">
        <v>0.11799999999999999</v>
      </c>
      <c r="L632">
        <v>4.7</v>
      </c>
      <c r="M632" t="s">
        <v>1261</v>
      </c>
      <c r="N632">
        <v>1</v>
      </c>
    </row>
    <row r="633" spans="1:14" x14ac:dyDescent="0.35">
      <c r="A633">
        <v>131</v>
      </c>
      <c r="B633" t="s">
        <v>1262</v>
      </c>
      <c r="C633">
        <v>131</v>
      </c>
      <c r="D633">
        <v>11</v>
      </c>
      <c r="E633" t="s">
        <v>23</v>
      </c>
      <c r="F633">
        <v>21.1</v>
      </c>
      <c r="G633">
        <v>889</v>
      </c>
      <c r="H633">
        <v>30</v>
      </c>
      <c r="I633">
        <v>900</v>
      </c>
      <c r="J633">
        <v>1.22</v>
      </c>
      <c r="K633">
        <v>0.11899999999999999</v>
      </c>
      <c r="L633">
        <v>4.7</v>
      </c>
      <c r="M633" t="s">
        <v>1263</v>
      </c>
      <c r="N633">
        <v>1</v>
      </c>
    </row>
    <row r="634" spans="1:14" x14ac:dyDescent="0.35">
      <c r="A634">
        <v>130</v>
      </c>
      <c r="B634" t="s">
        <v>1264</v>
      </c>
      <c r="C634">
        <v>130</v>
      </c>
      <c r="D634">
        <v>4</v>
      </c>
      <c r="E634" t="s">
        <v>28</v>
      </c>
      <c r="F634">
        <v>2.2999999999999998</v>
      </c>
      <c r="G634">
        <v>889</v>
      </c>
      <c r="H634">
        <v>30</v>
      </c>
      <c r="I634">
        <v>900</v>
      </c>
      <c r="J634">
        <v>1.22</v>
      </c>
      <c r="K634">
        <v>0.11899999999999999</v>
      </c>
      <c r="L634">
        <v>4.5999999999999996</v>
      </c>
      <c r="M634" t="s">
        <v>1265</v>
      </c>
      <c r="N634">
        <v>1</v>
      </c>
    </row>
    <row r="635" spans="1:14" x14ac:dyDescent="0.35">
      <c r="A635">
        <v>129</v>
      </c>
      <c r="B635" t="s">
        <v>1266</v>
      </c>
      <c r="C635">
        <v>129</v>
      </c>
      <c r="D635">
        <v>5</v>
      </c>
      <c r="E635" t="s">
        <v>35</v>
      </c>
      <c r="F635">
        <v>1</v>
      </c>
      <c r="G635">
        <v>889</v>
      </c>
      <c r="H635">
        <v>30</v>
      </c>
      <c r="I635">
        <v>900</v>
      </c>
      <c r="J635">
        <v>1.22</v>
      </c>
      <c r="K635">
        <v>0.11799999999999999</v>
      </c>
      <c r="L635">
        <v>4.7</v>
      </c>
      <c r="M635" t="s">
        <v>1267</v>
      </c>
      <c r="N635">
        <v>1</v>
      </c>
    </row>
    <row r="636" spans="1:14" x14ac:dyDescent="0.35">
      <c r="A636">
        <v>128</v>
      </c>
      <c r="B636" t="s">
        <v>1268</v>
      </c>
      <c r="C636">
        <v>128</v>
      </c>
      <c r="D636">
        <v>7</v>
      </c>
      <c r="E636" t="s">
        <v>17</v>
      </c>
      <c r="F636">
        <v>2.8</v>
      </c>
      <c r="G636">
        <v>888</v>
      </c>
      <c r="H636">
        <v>30</v>
      </c>
      <c r="I636">
        <v>900</v>
      </c>
      <c r="J636">
        <v>1.33</v>
      </c>
      <c r="K636">
        <v>0.11899999999999999</v>
      </c>
      <c r="L636">
        <v>4.5999999999999996</v>
      </c>
      <c r="M636" t="s">
        <v>1269</v>
      </c>
      <c r="N636">
        <v>1</v>
      </c>
    </row>
    <row r="637" spans="1:14" x14ac:dyDescent="0.35">
      <c r="A637">
        <v>127</v>
      </c>
      <c r="B637" t="s">
        <v>1270</v>
      </c>
      <c r="C637">
        <v>127</v>
      </c>
      <c r="D637">
        <v>11</v>
      </c>
      <c r="E637" t="s">
        <v>23</v>
      </c>
      <c r="F637">
        <v>14.7</v>
      </c>
      <c r="G637">
        <v>888</v>
      </c>
      <c r="H637">
        <v>30</v>
      </c>
      <c r="I637">
        <v>900</v>
      </c>
      <c r="J637">
        <v>1.33</v>
      </c>
      <c r="K637">
        <v>0.11799999999999999</v>
      </c>
      <c r="L637">
        <v>4.7</v>
      </c>
      <c r="M637" t="s">
        <v>1271</v>
      </c>
      <c r="N637">
        <v>1</v>
      </c>
    </row>
    <row r="638" spans="1:14" x14ac:dyDescent="0.35">
      <c r="A638">
        <v>126</v>
      </c>
      <c r="B638" t="s">
        <v>1272</v>
      </c>
      <c r="C638">
        <v>126</v>
      </c>
      <c r="D638">
        <v>11</v>
      </c>
      <c r="E638" t="s">
        <v>23</v>
      </c>
      <c r="F638">
        <v>12.3</v>
      </c>
      <c r="G638">
        <v>889</v>
      </c>
      <c r="H638">
        <v>30</v>
      </c>
      <c r="I638">
        <v>900</v>
      </c>
      <c r="J638">
        <v>1.22</v>
      </c>
      <c r="K638">
        <v>0.11799999999999999</v>
      </c>
      <c r="L638">
        <v>4.7</v>
      </c>
      <c r="M638" t="s">
        <v>1273</v>
      </c>
      <c r="N638">
        <v>1</v>
      </c>
    </row>
    <row r="639" spans="1:14" x14ac:dyDescent="0.35">
      <c r="A639">
        <v>125</v>
      </c>
      <c r="B639" t="s">
        <v>1274</v>
      </c>
      <c r="C639">
        <v>125</v>
      </c>
      <c r="D639">
        <v>4</v>
      </c>
      <c r="E639" t="s">
        <v>28</v>
      </c>
      <c r="F639">
        <v>2.2999999999999998</v>
      </c>
      <c r="G639">
        <v>888</v>
      </c>
      <c r="H639">
        <v>30</v>
      </c>
      <c r="I639">
        <v>900</v>
      </c>
      <c r="J639">
        <v>1.33</v>
      </c>
      <c r="K639">
        <v>0.11899999999999999</v>
      </c>
      <c r="L639">
        <v>4.5999999999999996</v>
      </c>
      <c r="M639" t="s">
        <v>1275</v>
      </c>
      <c r="N639">
        <v>1</v>
      </c>
    </row>
    <row r="640" spans="1:14" x14ac:dyDescent="0.35">
      <c r="A640">
        <v>124</v>
      </c>
      <c r="B640" t="s">
        <v>1276</v>
      </c>
      <c r="C640">
        <v>124</v>
      </c>
      <c r="D640">
        <v>11</v>
      </c>
      <c r="E640" t="s">
        <v>23</v>
      </c>
      <c r="F640">
        <v>21.1</v>
      </c>
      <c r="G640">
        <v>889</v>
      </c>
      <c r="H640">
        <v>30</v>
      </c>
      <c r="I640">
        <v>900</v>
      </c>
      <c r="J640">
        <v>1.22</v>
      </c>
      <c r="K640">
        <v>0.11899999999999999</v>
      </c>
      <c r="L640">
        <v>4.7</v>
      </c>
      <c r="M640" t="s">
        <v>1277</v>
      </c>
      <c r="N640">
        <v>1</v>
      </c>
    </row>
    <row r="641" spans="1:14" x14ac:dyDescent="0.35">
      <c r="A641">
        <v>123</v>
      </c>
      <c r="B641" t="s">
        <v>1278</v>
      </c>
      <c r="C641">
        <v>123</v>
      </c>
      <c r="D641">
        <v>3</v>
      </c>
      <c r="E641" t="s">
        <v>20</v>
      </c>
      <c r="F641">
        <v>1.1000000000000001</v>
      </c>
      <c r="G641">
        <v>891</v>
      </c>
      <c r="H641">
        <v>30</v>
      </c>
      <c r="I641">
        <v>900</v>
      </c>
      <c r="J641">
        <v>1</v>
      </c>
      <c r="K641">
        <v>0.11799999999999999</v>
      </c>
      <c r="L641">
        <v>4.7</v>
      </c>
      <c r="M641" t="s">
        <v>1279</v>
      </c>
      <c r="N641">
        <v>1</v>
      </c>
    </row>
    <row r="642" spans="1:14" x14ac:dyDescent="0.35">
      <c r="A642">
        <v>122</v>
      </c>
      <c r="B642" t="s">
        <v>1280</v>
      </c>
      <c r="C642">
        <v>122</v>
      </c>
      <c r="D642">
        <v>11</v>
      </c>
      <c r="E642" t="s">
        <v>23</v>
      </c>
      <c r="F642">
        <v>12.3</v>
      </c>
      <c r="G642">
        <v>891</v>
      </c>
      <c r="H642">
        <v>30</v>
      </c>
      <c r="I642">
        <v>900</v>
      </c>
      <c r="J642">
        <v>1</v>
      </c>
      <c r="K642">
        <v>0.11799999999999999</v>
      </c>
      <c r="L642">
        <v>4.7</v>
      </c>
      <c r="M642" t="s">
        <v>1281</v>
      </c>
      <c r="N642">
        <v>1</v>
      </c>
    </row>
    <row r="643" spans="1:14" x14ac:dyDescent="0.35">
      <c r="A643">
        <v>121</v>
      </c>
      <c r="B643" t="s">
        <v>1282</v>
      </c>
      <c r="C643">
        <v>121</v>
      </c>
      <c r="D643">
        <v>4</v>
      </c>
      <c r="E643" t="s">
        <v>28</v>
      </c>
      <c r="F643">
        <v>2.2999999999999998</v>
      </c>
      <c r="G643">
        <v>889</v>
      </c>
      <c r="H643">
        <v>30</v>
      </c>
      <c r="I643">
        <v>900</v>
      </c>
      <c r="J643">
        <v>1.22</v>
      </c>
      <c r="K643">
        <v>0.11799999999999999</v>
      </c>
      <c r="L643">
        <v>4.5999999999999996</v>
      </c>
      <c r="M643" t="s">
        <v>1283</v>
      </c>
      <c r="N643">
        <v>1</v>
      </c>
    </row>
    <row r="644" spans="1:14" x14ac:dyDescent="0.35">
      <c r="A644">
        <v>120</v>
      </c>
      <c r="B644" t="s">
        <v>1284</v>
      </c>
      <c r="C644">
        <v>120</v>
      </c>
      <c r="D644">
        <v>11</v>
      </c>
      <c r="E644" t="s">
        <v>23</v>
      </c>
      <c r="F644">
        <v>23.8</v>
      </c>
      <c r="G644">
        <v>891</v>
      </c>
      <c r="H644">
        <v>30</v>
      </c>
      <c r="I644">
        <v>900</v>
      </c>
      <c r="J644">
        <v>1</v>
      </c>
      <c r="K644">
        <v>0.11799999999999999</v>
      </c>
      <c r="L644">
        <v>4.5999999999999996</v>
      </c>
      <c r="M644" t="s">
        <v>1285</v>
      </c>
      <c r="N644">
        <v>1</v>
      </c>
    </row>
    <row r="645" spans="1:14" x14ac:dyDescent="0.35">
      <c r="A645">
        <v>119</v>
      </c>
      <c r="B645" t="s">
        <v>1286</v>
      </c>
      <c r="C645">
        <v>119</v>
      </c>
      <c r="D645">
        <v>11</v>
      </c>
      <c r="E645" t="s">
        <v>23</v>
      </c>
      <c r="F645">
        <v>19.600000000000001</v>
      </c>
      <c r="G645">
        <v>889</v>
      </c>
      <c r="H645">
        <v>30</v>
      </c>
      <c r="I645">
        <v>900</v>
      </c>
      <c r="J645">
        <v>1.22</v>
      </c>
      <c r="K645">
        <v>0.11899999999999999</v>
      </c>
      <c r="L645">
        <v>4.5999999999999996</v>
      </c>
      <c r="M645" t="s">
        <v>1287</v>
      </c>
      <c r="N645">
        <v>1</v>
      </c>
    </row>
    <row r="646" spans="1:14" x14ac:dyDescent="0.35">
      <c r="A646">
        <v>118</v>
      </c>
      <c r="B646" t="s">
        <v>1288</v>
      </c>
      <c r="C646">
        <v>118</v>
      </c>
      <c r="D646">
        <v>1</v>
      </c>
      <c r="E646" t="s">
        <v>41</v>
      </c>
      <c r="F646">
        <v>2.9</v>
      </c>
      <c r="G646">
        <v>891</v>
      </c>
      <c r="H646">
        <v>30</v>
      </c>
      <c r="I646">
        <v>900</v>
      </c>
      <c r="J646">
        <v>1</v>
      </c>
      <c r="K646">
        <v>0.11799999999999999</v>
      </c>
      <c r="L646">
        <v>4.7</v>
      </c>
      <c r="M646" t="s">
        <v>1289</v>
      </c>
      <c r="N646">
        <v>1</v>
      </c>
    </row>
    <row r="647" spans="1:14" x14ac:dyDescent="0.35">
      <c r="A647">
        <v>117</v>
      </c>
      <c r="B647" t="s">
        <v>1290</v>
      </c>
      <c r="C647">
        <v>117</v>
      </c>
      <c r="D647">
        <v>8</v>
      </c>
      <c r="E647" t="s">
        <v>38</v>
      </c>
      <c r="F647">
        <v>2.2999999999999998</v>
      </c>
      <c r="G647">
        <v>891</v>
      </c>
      <c r="H647">
        <v>30</v>
      </c>
      <c r="I647">
        <v>900</v>
      </c>
      <c r="J647">
        <v>1</v>
      </c>
      <c r="K647">
        <v>0.11799999999999999</v>
      </c>
      <c r="L647">
        <v>4.5999999999999996</v>
      </c>
      <c r="M647" t="s">
        <v>1291</v>
      </c>
      <c r="N647">
        <v>1</v>
      </c>
    </row>
    <row r="648" spans="1:14" x14ac:dyDescent="0.35">
      <c r="A648">
        <v>116</v>
      </c>
      <c r="B648" t="s">
        <v>1292</v>
      </c>
      <c r="C648">
        <v>116</v>
      </c>
      <c r="D648">
        <v>7</v>
      </c>
      <c r="E648" t="s">
        <v>17</v>
      </c>
      <c r="F648">
        <v>2.9</v>
      </c>
      <c r="G648">
        <v>890</v>
      </c>
      <c r="H648">
        <v>30</v>
      </c>
      <c r="I648">
        <v>900</v>
      </c>
      <c r="J648">
        <v>1.1100000000000001</v>
      </c>
      <c r="K648">
        <v>0.11799999999999999</v>
      </c>
      <c r="L648">
        <v>4.7</v>
      </c>
      <c r="M648" t="s">
        <v>1293</v>
      </c>
      <c r="N648">
        <v>1</v>
      </c>
    </row>
    <row r="649" spans="1:14" x14ac:dyDescent="0.35">
      <c r="A649">
        <v>115</v>
      </c>
      <c r="B649" t="s">
        <v>1294</v>
      </c>
      <c r="C649">
        <v>115</v>
      </c>
      <c r="D649">
        <v>11</v>
      </c>
      <c r="E649" t="s">
        <v>23</v>
      </c>
      <c r="F649">
        <v>14.8</v>
      </c>
      <c r="G649">
        <v>890</v>
      </c>
      <c r="H649">
        <v>30</v>
      </c>
      <c r="I649">
        <v>900</v>
      </c>
      <c r="J649">
        <v>1.1100000000000001</v>
      </c>
      <c r="K649">
        <v>0.11799999999999999</v>
      </c>
      <c r="L649">
        <v>4.7</v>
      </c>
      <c r="M649" t="s">
        <v>1295</v>
      </c>
      <c r="N649">
        <v>1</v>
      </c>
    </row>
    <row r="650" spans="1:14" x14ac:dyDescent="0.35">
      <c r="A650">
        <v>114</v>
      </c>
      <c r="B650" t="s">
        <v>1296</v>
      </c>
      <c r="C650">
        <v>114</v>
      </c>
      <c r="D650">
        <v>2</v>
      </c>
      <c r="E650" t="s">
        <v>74</v>
      </c>
      <c r="F650">
        <v>1.2</v>
      </c>
      <c r="G650">
        <v>891</v>
      </c>
      <c r="H650">
        <v>30</v>
      </c>
      <c r="I650">
        <v>900</v>
      </c>
      <c r="J650">
        <v>1</v>
      </c>
      <c r="K650">
        <v>0.11700000000000001</v>
      </c>
      <c r="L650">
        <v>4.7</v>
      </c>
      <c r="M650" t="s">
        <v>1297</v>
      </c>
      <c r="N650">
        <v>1</v>
      </c>
    </row>
    <row r="651" spans="1:14" x14ac:dyDescent="0.35">
      <c r="A651">
        <v>113</v>
      </c>
      <c r="B651" t="s">
        <v>1298</v>
      </c>
      <c r="C651">
        <v>113</v>
      </c>
      <c r="D651">
        <v>9</v>
      </c>
      <c r="E651" t="s">
        <v>44</v>
      </c>
      <c r="F651">
        <v>1.2</v>
      </c>
      <c r="G651">
        <v>892</v>
      </c>
      <c r="H651">
        <v>30</v>
      </c>
      <c r="I651">
        <v>900</v>
      </c>
      <c r="J651">
        <v>0.89</v>
      </c>
      <c r="K651">
        <v>0.11799999999999999</v>
      </c>
      <c r="L651">
        <v>4.5999999999999996</v>
      </c>
      <c r="M651" t="s">
        <v>1299</v>
      </c>
      <c r="N651">
        <v>1</v>
      </c>
    </row>
    <row r="652" spans="1:14" x14ac:dyDescent="0.35">
      <c r="A652">
        <v>112</v>
      </c>
      <c r="B652" t="s">
        <v>1300</v>
      </c>
      <c r="C652">
        <v>112</v>
      </c>
      <c r="D652">
        <v>11</v>
      </c>
      <c r="E652" t="s">
        <v>23</v>
      </c>
      <c r="F652">
        <v>14.3</v>
      </c>
      <c r="G652">
        <v>889</v>
      </c>
      <c r="H652">
        <v>30</v>
      </c>
      <c r="I652">
        <v>900</v>
      </c>
      <c r="J652">
        <v>1.22</v>
      </c>
      <c r="K652">
        <v>0.11799999999999999</v>
      </c>
      <c r="L652">
        <v>4.7</v>
      </c>
      <c r="M652" t="s">
        <v>1301</v>
      </c>
      <c r="N652">
        <v>1</v>
      </c>
    </row>
    <row r="653" spans="1:14" x14ac:dyDescent="0.35">
      <c r="A653">
        <v>111</v>
      </c>
      <c r="B653" t="s">
        <v>1302</v>
      </c>
      <c r="C653">
        <v>111</v>
      </c>
      <c r="D653">
        <v>5</v>
      </c>
      <c r="E653" t="s">
        <v>35</v>
      </c>
      <c r="F653">
        <v>1.1000000000000001</v>
      </c>
      <c r="G653">
        <v>889</v>
      </c>
      <c r="H653">
        <v>30</v>
      </c>
      <c r="I653">
        <v>900</v>
      </c>
      <c r="J653">
        <v>1.22</v>
      </c>
      <c r="K653">
        <v>0.11799999999999999</v>
      </c>
      <c r="L653">
        <v>4.5999999999999996</v>
      </c>
      <c r="M653" t="s">
        <v>1303</v>
      </c>
      <c r="N653">
        <v>1</v>
      </c>
    </row>
    <row r="654" spans="1:14" x14ac:dyDescent="0.35">
      <c r="A654">
        <v>110</v>
      </c>
      <c r="B654" t="s">
        <v>1304</v>
      </c>
      <c r="C654">
        <v>110</v>
      </c>
      <c r="D654">
        <v>11</v>
      </c>
      <c r="E654" t="s">
        <v>23</v>
      </c>
      <c r="F654">
        <v>17.5</v>
      </c>
      <c r="G654">
        <v>890</v>
      </c>
      <c r="H654">
        <v>30</v>
      </c>
      <c r="I654">
        <v>900</v>
      </c>
      <c r="J654">
        <v>1.1100000000000001</v>
      </c>
      <c r="K654">
        <v>0.11799999999999999</v>
      </c>
      <c r="L654">
        <v>4.7</v>
      </c>
      <c r="M654" t="s">
        <v>1305</v>
      </c>
      <c r="N654">
        <v>1</v>
      </c>
    </row>
    <row r="655" spans="1:14" x14ac:dyDescent="0.35">
      <c r="A655">
        <v>109</v>
      </c>
      <c r="B655" t="s">
        <v>1306</v>
      </c>
      <c r="C655">
        <v>109</v>
      </c>
      <c r="D655">
        <v>11</v>
      </c>
      <c r="E655" t="s">
        <v>23</v>
      </c>
      <c r="F655">
        <v>21</v>
      </c>
      <c r="G655">
        <v>889</v>
      </c>
      <c r="H655">
        <v>30</v>
      </c>
      <c r="I655">
        <v>900</v>
      </c>
      <c r="J655">
        <v>1.22</v>
      </c>
      <c r="K655">
        <v>0.11799999999999999</v>
      </c>
      <c r="L655">
        <v>4.5999999999999996</v>
      </c>
      <c r="M655" t="s">
        <v>1307</v>
      </c>
      <c r="N655">
        <v>1</v>
      </c>
    </row>
    <row r="656" spans="1:14" x14ac:dyDescent="0.35">
      <c r="A656">
        <v>108</v>
      </c>
      <c r="B656" t="s">
        <v>1308</v>
      </c>
      <c r="C656">
        <v>108</v>
      </c>
      <c r="D656">
        <v>4</v>
      </c>
      <c r="E656" t="s">
        <v>28</v>
      </c>
      <c r="F656">
        <v>2.2999999999999998</v>
      </c>
      <c r="G656">
        <v>891</v>
      </c>
      <c r="H656">
        <v>30</v>
      </c>
      <c r="I656">
        <v>900</v>
      </c>
      <c r="J656">
        <v>1</v>
      </c>
      <c r="K656">
        <v>0.11899999999999999</v>
      </c>
      <c r="L656">
        <v>4.7</v>
      </c>
      <c r="M656" t="s">
        <v>1309</v>
      </c>
      <c r="N656">
        <v>1</v>
      </c>
    </row>
    <row r="657" spans="1:14" x14ac:dyDescent="0.35">
      <c r="A657">
        <v>107</v>
      </c>
      <c r="B657" t="s">
        <v>1310</v>
      </c>
      <c r="C657">
        <v>107</v>
      </c>
      <c r="D657">
        <v>3</v>
      </c>
      <c r="E657" t="s">
        <v>20</v>
      </c>
      <c r="F657">
        <v>1.2</v>
      </c>
      <c r="G657">
        <v>889</v>
      </c>
      <c r="H657">
        <v>30</v>
      </c>
      <c r="I657">
        <v>900</v>
      </c>
      <c r="J657">
        <v>1.22</v>
      </c>
      <c r="K657">
        <v>0.11899999999999999</v>
      </c>
      <c r="L657">
        <v>4.7</v>
      </c>
      <c r="M657" t="s">
        <v>1311</v>
      </c>
      <c r="N657">
        <v>1</v>
      </c>
    </row>
    <row r="658" spans="1:14" x14ac:dyDescent="0.35">
      <c r="A658">
        <v>106</v>
      </c>
      <c r="B658" t="s">
        <v>1312</v>
      </c>
      <c r="C658">
        <v>106</v>
      </c>
      <c r="D658">
        <v>11</v>
      </c>
      <c r="E658" t="s">
        <v>23</v>
      </c>
      <c r="F658">
        <v>5.7</v>
      </c>
      <c r="G658">
        <v>889</v>
      </c>
      <c r="H658">
        <v>30</v>
      </c>
      <c r="I658">
        <v>900</v>
      </c>
      <c r="J658">
        <v>1.22</v>
      </c>
      <c r="K658">
        <v>0.11799999999999999</v>
      </c>
      <c r="L658">
        <v>4.7</v>
      </c>
      <c r="M658" t="s">
        <v>1313</v>
      </c>
      <c r="N658">
        <v>1</v>
      </c>
    </row>
    <row r="659" spans="1:14" x14ac:dyDescent="0.35">
      <c r="A659">
        <v>105</v>
      </c>
      <c r="B659" t="s">
        <v>1314</v>
      </c>
      <c r="C659">
        <v>105</v>
      </c>
      <c r="D659">
        <v>6</v>
      </c>
      <c r="E659" t="s">
        <v>14</v>
      </c>
      <c r="F659">
        <v>1.2</v>
      </c>
      <c r="G659">
        <v>889</v>
      </c>
      <c r="H659">
        <v>30</v>
      </c>
      <c r="I659">
        <v>900</v>
      </c>
      <c r="J659">
        <v>1.22</v>
      </c>
      <c r="K659">
        <v>0.11799999999999999</v>
      </c>
      <c r="L659">
        <v>4.7</v>
      </c>
      <c r="M659" t="s">
        <v>1315</v>
      </c>
      <c r="N659">
        <v>1</v>
      </c>
    </row>
    <row r="660" spans="1:14" x14ac:dyDescent="0.35">
      <c r="A660">
        <v>104</v>
      </c>
      <c r="B660" t="s">
        <v>1316</v>
      </c>
      <c r="C660">
        <v>104</v>
      </c>
      <c r="D660">
        <v>11</v>
      </c>
      <c r="E660" t="s">
        <v>23</v>
      </c>
      <c r="F660">
        <v>18.600000000000001</v>
      </c>
      <c r="G660">
        <v>888</v>
      </c>
      <c r="H660">
        <v>30</v>
      </c>
      <c r="I660">
        <v>900</v>
      </c>
      <c r="J660">
        <v>1.33</v>
      </c>
      <c r="K660">
        <v>0.11899999999999999</v>
      </c>
      <c r="L660">
        <v>4.5999999999999996</v>
      </c>
      <c r="M660" t="s">
        <v>1317</v>
      </c>
      <c r="N660">
        <v>1</v>
      </c>
    </row>
    <row r="661" spans="1:14" x14ac:dyDescent="0.35">
      <c r="A661">
        <v>103</v>
      </c>
      <c r="B661" t="s">
        <v>1318</v>
      </c>
      <c r="C661">
        <v>103</v>
      </c>
      <c r="D661">
        <v>11</v>
      </c>
      <c r="E661" t="s">
        <v>23</v>
      </c>
      <c r="F661">
        <v>14.5</v>
      </c>
      <c r="G661">
        <v>889</v>
      </c>
      <c r="H661">
        <v>30</v>
      </c>
      <c r="I661">
        <v>900</v>
      </c>
      <c r="J661">
        <v>1.22</v>
      </c>
      <c r="K661">
        <v>0.11799999999999999</v>
      </c>
      <c r="L661">
        <v>4.5999999999999996</v>
      </c>
      <c r="M661" t="s">
        <v>1319</v>
      </c>
      <c r="N661">
        <v>1</v>
      </c>
    </row>
    <row r="662" spans="1:14" x14ac:dyDescent="0.35">
      <c r="A662">
        <v>102</v>
      </c>
      <c r="B662" t="s">
        <v>1320</v>
      </c>
      <c r="C662">
        <v>102</v>
      </c>
      <c r="D662">
        <v>3</v>
      </c>
      <c r="E662" t="s">
        <v>20</v>
      </c>
      <c r="F662">
        <v>1.1000000000000001</v>
      </c>
      <c r="G662">
        <v>891</v>
      </c>
      <c r="H662">
        <v>30</v>
      </c>
      <c r="I662">
        <v>900</v>
      </c>
      <c r="J662">
        <v>1</v>
      </c>
      <c r="K662">
        <v>0.11799999999999999</v>
      </c>
      <c r="L662">
        <v>4.7</v>
      </c>
      <c r="M662" t="s">
        <v>1321</v>
      </c>
      <c r="N662">
        <v>1</v>
      </c>
    </row>
    <row r="663" spans="1:14" x14ac:dyDescent="0.35">
      <c r="A663">
        <v>101</v>
      </c>
      <c r="B663" t="s">
        <v>1322</v>
      </c>
      <c r="C663">
        <v>101</v>
      </c>
      <c r="D663">
        <v>1</v>
      </c>
      <c r="E663" t="s">
        <v>41</v>
      </c>
      <c r="F663">
        <v>2.9</v>
      </c>
      <c r="G663">
        <v>890</v>
      </c>
      <c r="H663">
        <v>30</v>
      </c>
      <c r="I663">
        <v>900</v>
      </c>
      <c r="J663">
        <v>1.1100000000000001</v>
      </c>
      <c r="K663">
        <v>0.11799999999999999</v>
      </c>
      <c r="L663">
        <v>4.7</v>
      </c>
      <c r="M663" t="s">
        <v>1323</v>
      </c>
      <c r="N663">
        <v>1</v>
      </c>
    </row>
    <row r="664" spans="1:14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x14ac:dyDescent="0.35">
      <c r="A665">
        <v>100</v>
      </c>
      <c r="B665" t="s">
        <v>1324</v>
      </c>
      <c r="C665">
        <v>100</v>
      </c>
      <c r="D665">
        <v>11</v>
      </c>
      <c r="E665" t="s">
        <v>23</v>
      </c>
      <c r="F665">
        <v>19.899999999999999</v>
      </c>
      <c r="G665">
        <v>739</v>
      </c>
      <c r="H665">
        <v>25</v>
      </c>
      <c r="I665">
        <v>750</v>
      </c>
      <c r="J665">
        <v>1.47</v>
      </c>
      <c r="K665">
        <v>9.8000000000000004E-2</v>
      </c>
      <c r="L665">
        <v>5.6</v>
      </c>
      <c r="M665" t="s">
        <v>1325</v>
      </c>
      <c r="N665">
        <v>1</v>
      </c>
    </row>
    <row r="666" spans="1:14" x14ac:dyDescent="0.35">
      <c r="A666">
        <v>99</v>
      </c>
      <c r="B666" t="s">
        <v>1326</v>
      </c>
      <c r="C666">
        <v>99</v>
      </c>
      <c r="D666">
        <v>11</v>
      </c>
      <c r="E666" t="s">
        <v>23</v>
      </c>
      <c r="F666">
        <v>21.5</v>
      </c>
      <c r="G666">
        <v>739</v>
      </c>
      <c r="H666">
        <v>25</v>
      </c>
      <c r="I666">
        <v>750</v>
      </c>
      <c r="J666">
        <v>1.47</v>
      </c>
      <c r="K666">
        <v>9.8000000000000004E-2</v>
      </c>
      <c r="L666">
        <v>5.6</v>
      </c>
      <c r="M666" t="s">
        <v>1327</v>
      </c>
      <c r="N666">
        <v>1</v>
      </c>
    </row>
    <row r="667" spans="1:14" x14ac:dyDescent="0.35">
      <c r="A667">
        <v>98</v>
      </c>
      <c r="B667" t="s">
        <v>1328</v>
      </c>
      <c r="C667">
        <v>98</v>
      </c>
      <c r="D667">
        <v>11</v>
      </c>
      <c r="E667" t="s">
        <v>23</v>
      </c>
      <c r="F667">
        <v>15.2</v>
      </c>
      <c r="G667">
        <v>740</v>
      </c>
      <c r="H667">
        <v>25</v>
      </c>
      <c r="I667">
        <v>750</v>
      </c>
      <c r="J667">
        <v>1.33</v>
      </c>
      <c r="K667">
        <v>9.8000000000000004E-2</v>
      </c>
      <c r="L667">
        <v>5.6</v>
      </c>
      <c r="M667" t="s">
        <v>1329</v>
      </c>
      <c r="N667">
        <v>1</v>
      </c>
    </row>
    <row r="668" spans="1:14" x14ac:dyDescent="0.35">
      <c r="A668">
        <v>97</v>
      </c>
      <c r="B668" t="s">
        <v>1330</v>
      </c>
      <c r="C668">
        <v>97</v>
      </c>
      <c r="D668">
        <v>7</v>
      </c>
      <c r="E668" t="s">
        <v>17</v>
      </c>
      <c r="F668">
        <v>2.9</v>
      </c>
      <c r="G668">
        <v>741</v>
      </c>
      <c r="H668">
        <v>25</v>
      </c>
      <c r="I668">
        <v>750</v>
      </c>
      <c r="J668">
        <v>1.2</v>
      </c>
      <c r="K668">
        <v>9.8000000000000004E-2</v>
      </c>
      <c r="L668">
        <v>5.6</v>
      </c>
      <c r="M668" t="s">
        <v>1331</v>
      </c>
      <c r="N668">
        <v>1</v>
      </c>
    </row>
    <row r="669" spans="1:14" x14ac:dyDescent="0.35">
      <c r="A669">
        <v>96</v>
      </c>
      <c r="B669" t="s">
        <v>1332</v>
      </c>
      <c r="C669">
        <v>96</v>
      </c>
      <c r="D669">
        <v>11</v>
      </c>
      <c r="E669" t="s">
        <v>23</v>
      </c>
      <c r="F669">
        <v>10.3</v>
      </c>
      <c r="G669">
        <v>738</v>
      </c>
      <c r="H669">
        <v>25</v>
      </c>
      <c r="I669">
        <v>750</v>
      </c>
      <c r="J669">
        <v>1.6</v>
      </c>
      <c r="K669">
        <v>9.8000000000000004E-2</v>
      </c>
      <c r="L669">
        <v>5.6</v>
      </c>
      <c r="M669" t="s">
        <v>1333</v>
      </c>
      <c r="N669">
        <v>1</v>
      </c>
    </row>
    <row r="670" spans="1:14" x14ac:dyDescent="0.35">
      <c r="A670">
        <v>95</v>
      </c>
      <c r="B670" t="s">
        <v>1334</v>
      </c>
      <c r="C670">
        <v>95</v>
      </c>
      <c r="D670">
        <v>8</v>
      </c>
      <c r="E670" t="s">
        <v>38</v>
      </c>
      <c r="F670">
        <v>2.1</v>
      </c>
      <c r="G670">
        <v>739</v>
      </c>
      <c r="H670">
        <v>25</v>
      </c>
      <c r="I670">
        <v>750</v>
      </c>
      <c r="J670">
        <v>1.47</v>
      </c>
      <c r="K670">
        <v>9.8000000000000004E-2</v>
      </c>
      <c r="L670">
        <v>5.7</v>
      </c>
      <c r="M670" t="s">
        <v>1335</v>
      </c>
      <c r="N670">
        <v>1</v>
      </c>
    </row>
    <row r="671" spans="1:14" x14ac:dyDescent="0.35">
      <c r="A671">
        <v>94</v>
      </c>
      <c r="B671" t="s">
        <v>1336</v>
      </c>
      <c r="C671">
        <v>94</v>
      </c>
      <c r="D671">
        <v>3</v>
      </c>
      <c r="E671" t="s">
        <v>20</v>
      </c>
      <c r="F671">
        <v>1.2</v>
      </c>
      <c r="G671">
        <v>740</v>
      </c>
      <c r="H671">
        <v>25</v>
      </c>
      <c r="I671">
        <v>750</v>
      </c>
      <c r="J671">
        <v>1.33</v>
      </c>
      <c r="K671">
        <v>9.8000000000000004E-2</v>
      </c>
      <c r="L671">
        <v>5.6</v>
      </c>
      <c r="M671" t="s">
        <v>1337</v>
      </c>
      <c r="N671">
        <v>1</v>
      </c>
    </row>
    <row r="672" spans="1:14" x14ac:dyDescent="0.35">
      <c r="A672">
        <v>93</v>
      </c>
      <c r="B672" t="s">
        <v>1338</v>
      </c>
      <c r="C672">
        <v>93</v>
      </c>
      <c r="D672">
        <v>1</v>
      </c>
      <c r="E672" t="s">
        <v>41</v>
      </c>
      <c r="F672">
        <v>2.8</v>
      </c>
      <c r="G672">
        <v>740</v>
      </c>
      <c r="H672">
        <v>25</v>
      </c>
      <c r="I672">
        <v>750</v>
      </c>
      <c r="J672">
        <v>1.33</v>
      </c>
      <c r="K672">
        <v>9.8000000000000004E-2</v>
      </c>
      <c r="L672">
        <v>5.6</v>
      </c>
      <c r="M672" t="s">
        <v>1339</v>
      </c>
      <c r="N672">
        <v>1</v>
      </c>
    </row>
    <row r="673" spans="1:14" x14ac:dyDescent="0.35">
      <c r="A673">
        <v>92</v>
      </c>
      <c r="B673" t="s">
        <v>1340</v>
      </c>
      <c r="C673">
        <v>92</v>
      </c>
      <c r="D673">
        <v>11</v>
      </c>
      <c r="E673" t="s">
        <v>23</v>
      </c>
      <c r="F673">
        <v>6.1</v>
      </c>
      <c r="G673">
        <v>739</v>
      </c>
      <c r="H673">
        <v>25</v>
      </c>
      <c r="I673">
        <v>750</v>
      </c>
      <c r="J673">
        <v>1.47</v>
      </c>
      <c r="K673">
        <v>9.8000000000000004E-2</v>
      </c>
      <c r="L673">
        <v>5.6</v>
      </c>
      <c r="M673" t="s">
        <v>1341</v>
      </c>
      <c r="N673">
        <v>1</v>
      </c>
    </row>
    <row r="674" spans="1:14" x14ac:dyDescent="0.35">
      <c r="A674">
        <v>91</v>
      </c>
      <c r="B674" t="s">
        <v>1342</v>
      </c>
      <c r="C674">
        <v>91</v>
      </c>
      <c r="D674">
        <v>4</v>
      </c>
      <c r="E674" t="s">
        <v>28</v>
      </c>
      <c r="F674">
        <v>2.2999999999999998</v>
      </c>
      <c r="G674">
        <v>741</v>
      </c>
      <c r="H674">
        <v>25</v>
      </c>
      <c r="I674">
        <v>750</v>
      </c>
      <c r="J674">
        <v>1.2</v>
      </c>
      <c r="K674">
        <v>9.8000000000000004E-2</v>
      </c>
      <c r="L674">
        <v>5.6</v>
      </c>
      <c r="M674" t="s">
        <v>1343</v>
      </c>
      <c r="N674">
        <v>1</v>
      </c>
    </row>
    <row r="675" spans="1:14" x14ac:dyDescent="0.35">
      <c r="A675">
        <v>90</v>
      </c>
      <c r="B675" t="s">
        <v>1344</v>
      </c>
      <c r="C675">
        <v>90</v>
      </c>
      <c r="D675">
        <v>11</v>
      </c>
      <c r="E675" t="s">
        <v>23</v>
      </c>
      <c r="F675">
        <v>20</v>
      </c>
      <c r="G675">
        <v>738</v>
      </c>
      <c r="H675">
        <v>25</v>
      </c>
      <c r="I675">
        <v>750</v>
      </c>
      <c r="J675">
        <v>1.6</v>
      </c>
      <c r="K675">
        <v>9.8000000000000004E-2</v>
      </c>
      <c r="L675">
        <v>5.6</v>
      </c>
      <c r="M675" t="s">
        <v>1345</v>
      </c>
      <c r="N675">
        <v>1</v>
      </c>
    </row>
    <row r="676" spans="1:14" x14ac:dyDescent="0.35">
      <c r="A676">
        <v>89</v>
      </c>
      <c r="B676" t="s">
        <v>1346</v>
      </c>
      <c r="C676">
        <v>89</v>
      </c>
      <c r="D676">
        <v>8</v>
      </c>
      <c r="E676" t="s">
        <v>38</v>
      </c>
      <c r="F676">
        <v>2.2999999999999998</v>
      </c>
      <c r="G676">
        <v>737</v>
      </c>
      <c r="H676">
        <v>25</v>
      </c>
      <c r="I676">
        <v>750</v>
      </c>
      <c r="J676">
        <v>1.73</v>
      </c>
      <c r="K676">
        <v>9.8000000000000004E-2</v>
      </c>
      <c r="L676">
        <v>5.6</v>
      </c>
      <c r="M676" t="s">
        <v>1347</v>
      </c>
      <c r="N676">
        <v>1</v>
      </c>
    </row>
    <row r="677" spans="1:14" x14ac:dyDescent="0.35">
      <c r="A677">
        <v>88</v>
      </c>
      <c r="B677" t="s">
        <v>1348</v>
      </c>
      <c r="C677">
        <v>88</v>
      </c>
      <c r="D677">
        <v>3</v>
      </c>
      <c r="E677" t="s">
        <v>20</v>
      </c>
      <c r="F677">
        <v>1.2</v>
      </c>
      <c r="G677">
        <v>739</v>
      </c>
      <c r="H677">
        <v>25</v>
      </c>
      <c r="I677">
        <v>750</v>
      </c>
      <c r="J677">
        <v>1.47</v>
      </c>
      <c r="K677">
        <v>9.8000000000000004E-2</v>
      </c>
      <c r="L677">
        <v>5.7</v>
      </c>
      <c r="M677" t="s">
        <v>1349</v>
      </c>
      <c r="N677">
        <v>1</v>
      </c>
    </row>
    <row r="678" spans="1:14" x14ac:dyDescent="0.35">
      <c r="A678">
        <v>87</v>
      </c>
      <c r="B678" t="s">
        <v>1350</v>
      </c>
      <c r="C678">
        <v>87</v>
      </c>
      <c r="D678">
        <v>6</v>
      </c>
      <c r="E678" t="s">
        <v>14</v>
      </c>
      <c r="F678">
        <v>1.2</v>
      </c>
      <c r="G678">
        <v>739</v>
      </c>
      <c r="H678">
        <v>25</v>
      </c>
      <c r="I678">
        <v>750</v>
      </c>
      <c r="J678">
        <v>1.47</v>
      </c>
      <c r="K678">
        <v>9.9000000000000005E-2</v>
      </c>
      <c r="L678">
        <v>5.6</v>
      </c>
      <c r="M678" t="s">
        <v>1351</v>
      </c>
      <c r="N678">
        <v>1</v>
      </c>
    </row>
    <row r="679" spans="1:14" x14ac:dyDescent="0.35">
      <c r="A679">
        <v>86</v>
      </c>
      <c r="B679" t="s">
        <v>1352</v>
      </c>
      <c r="C679">
        <v>86</v>
      </c>
      <c r="D679">
        <v>4</v>
      </c>
      <c r="E679" t="s">
        <v>28</v>
      </c>
      <c r="F679">
        <v>2.2999999999999998</v>
      </c>
      <c r="G679">
        <v>739</v>
      </c>
      <c r="H679">
        <v>25</v>
      </c>
      <c r="I679">
        <v>750</v>
      </c>
      <c r="J679">
        <v>1.47</v>
      </c>
      <c r="K679">
        <v>9.9000000000000005E-2</v>
      </c>
      <c r="L679">
        <v>5.6</v>
      </c>
      <c r="M679" t="s">
        <v>1353</v>
      </c>
      <c r="N679">
        <v>1</v>
      </c>
    </row>
    <row r="680" spans="1:14" x14ac:dyDescent="0.35">
      <c r="A680">
        <v>85</v>
      </c>
      <c r="B680" t="s">
        <v>1354</v>
      </c>
      <c r="C680">
        <v>85</v>
      </c>
      <c r="D680">
        <v>7</v>
      </c>
      <c r="E680" t="s">
        <v>17</v>
      </c>
      <c r="F680">
        <v>2.8</v>
      </c>
      <c r="G680">
        <v>739</v>
      </c>
      <c r="H680">
        <v>25</v>
      </c>
      <c r="I680">
        <v>750</v>
      </c>
      <c r="J680">
        <v>1.47</v>
      </c>
      <c r="K680">
        <v>9.8000000000000004E-2</v>
      </c>
      <c r="L680">
        <v>5.6</v>
      </c>
      <c r="M680" t="s">
        <v>1355</v>
      </c>
      <c r="N680">
        <v>1</v>
      </c>
    </row>
    <row r="681" spans="1:14" x14ac:dyDescent="0.35">
      <c r="A681">
        <v>84</v>
      </c>
      <c r="B681" t="s">
        <v>1356</v>
      </c>
      <c r="C681">
        <v>84</v>
      </c>
      <c r="D681">
        <v>1</v>
      </c>
      <c r="E681" t="s">
        <v>41</v>
      </c>
      <c r="F681">
        <v>2.9</v>
      </c>
      <c r="G681">
        <v>738</v>
      </c>
      <c r="H681">
        <v>25</v>
      </c>
      <c r="I681">
        <v>750</v>
      </c>
      <c r="J681">
        <v>1.6</v>
      </c>
      <c r="K681">
        <v>9.9000000000000005E-2</v>
      </c>
      <c r="L681">
        <v>5.6</v>
      </c>
      <c r="M681" t="s">
        <v>1357</v>
      </c>
      <c r="N681">
        <v>1</v>
      </c>
    </row>
    <row r="682" spans="1:14" x14ac:dyDescent="0.35">
      <c r="A682">
        <v>83</v>
      </c>
      <c r="B682" t="s">
        <v>1358</v>
      </c>
      <c r="C682">
        <v>83</v>
      </c>
      <c r="D682">
        <v>11</v>
      </c>
      <c r="E682" t="s">
        <v>23</v>
      </c>
      <c r="F682">
        <v>21.6</v>
      </c>
      <c r="G682">
        <v>739</v>
      </c>
      <c r="H682">
        <v>25</v>
      </c>
      <c r="I682">
        <v>750</v>
      </c>
      <c r="J682">
        <v>1.47</v>
      </c>
      <c r="K682">
        <v>9.8000000000000004E-2</v>
      </c>
      <c r="L682">
        <v>5.6</v>
      </c>
      <c r="M682" t="s">
        <v>1359</v>
      </c>
      <c r="N682">
        <v>1</v>
      </c>
    </row>
    <row r="683" spans="1:14" x14ac:dyDescent="0.35">
      <c r="A683">
        <v>82</v>
      </c>
      <c r="B683" t="s">
        <v>1360</v>
      </c>
      <c r="C683">
        <v>82</v>
      </c>
      <c r="D683">
        <v>2</v>
      </c>
      <c r="E683" t="s">
        <v>74</v>
      </c>
      <c r="F683">
        <v>1.3</v>
      </c>
      <c r="G683">
        <v>739</v>
      </c>
      <c r="H683">
        <v>25</v>
      </c>
      <c r="I683">
        <v>750</v>
      </c>
      <c r="J683">
        <v>1.47</v>
      </c>
      <c r="K683">
        <v>9.8000000000000004E-2</v>
      </c>
      <c r="L683">
        <v>5.6</v>
      </c>
      <c r="M683" t="s">
        <v>1361</v>
      </c>
      <c r="N683">
        <v>1</v>
      </c>
    </row>
    <row r="684" spans="1:14" x14ac:dyDescent="0.35">
      <c r="A684">
        <v>81</v>
      </c>
      <c r="B684" t="s">
        <v>1362</v>
      </c>
      <c r="C684">
        <v>81</v>
      </c>
      <c r="D684">
        <v>11</v>
      </c>
      <c r="E684" t="s">
        <v>23</v>
      </c>
      <c r="F684">
        <v>17.3</v>
      </c>
      <c r="G684">
        <v>739</v>
      </c>
      <c r="H684">
        <v>25</v>
      </c>
      <c r="I684">
        <v>750</v>
      </c>
      <c r="J684">
        <v>1.47</v>
      </c>
      <c r="K684">
        <v>9.8000000000000004E-2</v>
      </c>
      <c r="L684">
        <v>5.6</v>
      </c>
      <c r="M684" t="s">
        <v>1363</v>
      </c>
      <c r="N684">
        <v>1</v>
      </c>
    </row>
    <row r="685" spans="1:14" x14ac:dyDescent="0.35">
      <c r="A685">
        <v>80</v>
      </c>
      <c r="B685" t="s">
        <v>1364</v>
      </c>
      <c r="C685">
        <v>80</v>
      </c>
      <c r="D685">
        <v>11</v>
      </c>
      <c r="E685" t="s">
        <v>23</v>
      </c>
      <c r="F685">
        <v>19.100000000000001</v>
      </c>
      <c r="G685">
        <v>739</v>
      </c>
      <c r="H685">
        <v>25</v>
      </c>
      <c r="I685">
        <v>750</v>
      </c>
      <c r="J685">
        <v>1.47</v>
      </c>
      <c r="K685">
        <v>9.8000000000000004E-2</v>
      </c>
      <c r="L685">
        <v>5.6</v>
      </c>
      <c r="M685" t="s">
        <v>1365</v>
      </c>
      <c r="N685">
        <v>1</v>
      </c>
    </row>
    <row r="686" spans="1:14" x14ac:dyDescent="0.35">
      <c r="A686">
        <v>79</v>
      </c>
      <c r="B686" t="s">
        <v>1366</v>
      </c>
      <c r="C686">
        <v>79</v>
      </c>
      <c r="D686">
        <v>11</v>
      </c>
      <c r="E686" t="s">
        <v>23</v>
      </c>
      <c r="F686">
        <v>22.2</v>
      </c>
      <c r="G686">
        <v>738</v>
      </c>
      <c r="H686">
        <v>25</v>
      </c>
      <c r="I686">
        <v>750</v>
      </c>
      <c r="J686">
        <v>1.6</v>
      </c>
      <c r="K686">
        <v>9.8000000000000004E-2</v>
      </c>
      <c r="L686">
        <v>5.6</v>
      </c>
      <c r="M686" t="s">
        <v>1367</v>
      </c>
      <c r="N686">
        <v>1</v>
      </c>
    </row>
    <row r="687" spans="1:14" x14ac:dyDescent="0.35">
      <c r="A687">
        <v>78</v>
      </c>
      <c r="B687" t="s">
        <v>1368</v>
      </c>
      <c r="C687">
        <v>78</v>
      </c>
      <c r="D687">
        <v>8</v>
      </c>
      <c r="E687" t="s">
        <v>38</v>
      </c>
      <c r="F687">
        <v>2.1</v>
      </c>
      <c r="G687">
        <v>739</v>
      </c>
      <c r="H687">
        <v>25</v>
      </c>
      <c r="I687">
        <v>750</v>
      </c>
      <c r="J687">
        <v>1.47</v>
      </c>
      <c r="K687">
        <v>9.8000000000000004E-2</v>
      </c>
      <c r="L687">
        <v>5.6</v>
      </c>
      <c r="M687" t="s">
        <v>1369</v>
      </c>
      <c r="N687">
        <v>1</v>
      </c>
    </row>
    <row r="688" spans="1:14" x14ac:dyDescent="0.35">
      <c r="A688">
        <v>77</v>
      </c>
      <c r="B688" t="s">
        <v>1370</v>
      </c>
      <c r="C688">
        <v>77</v>
      </c>
      <c r="D688">
        <v>7</v>
      </c>
      <c r="E688" t="s">
        <v>17</v>
      </c>
      <c r="F688">
        <v>2.9</v>
      </c>
      <c r="G688">
        <v>741</v>
      </c>
      <c r="H688">
        <v>25</v>
      </c>
      <c r="I688">
        <v>750</v>
      </c>
      <c r="J688">
        <v>1.2</v>
      </c>
      <c r="K688">
        <v>9.8000000000000004E-2</v>
      </c>
      <c r="L688">
        <v>5.6</v>
      </c>
      <c r="M688" t="s">
        <v>1371</v>
      </c>
      <c r="N688">
        <v>1</v>
      </c>
    </row>
    <row r="689" spans="1:14" x14ac:dyDescent="0.35">
      <c r="A689">
        <v>76</v>
      </c>
      <c r="B689" t="s">
        <v>1372</v>
      </c>
      <c r="C689">
        <v>76</v>
      </c>
      <c r="D689">
        <v>5</v>
      </c>
      <c r="E689" t="s">
        <v>35</v>
      </c>
      <c r="F689">
        <v>1.2</v>
      </c>
      <c r="G689">
        <v>739</v>
      </c>
      <c r="H689">
        <v>25</v>
      </c>
      <c r="I689">
        <v>750</v>
      </c>
      <c r="J689">
        <v>1.47</v>
      </c>
      <c r="K689">
        <v>9.8000000000000004E-2</v>
      </c>
      <c r="L689">
        <v>5.6</v>
      </c>
      <c r="M689" t="s">
        <v>1373</v>
      </c>
      <c r="N689">
        <v>1</v>
      </c>
    </row>
    <row r="690" spans="1:14" x14ac:dyDescent="0.35">
      <c r="A690">
        <v>75</v>
      </c>
      <c r="B690" t="s">
        <v>1374</v>
      </c>
      <c r="C690">
        <v>75</v>
      </c>
      <c r="D690">
        <v>2</v>
      </c>
      <c r="E690" t="s">
        <v>74</v>
      </c>
      <c r="F690">
        <v>1.1000000000000001</v>
      </c>
      <c r="G690">
        <v>738</v>
      </c>
      <c r="H690">
        <v>25</v>
      </c>
      <c r="I690">
        <v>750</v>
      </c>
      <c r="J690">
        <v>1.6</v>
      </c>
      <c r="K690">
        <v>9.8000000000000004E-2</v>
      </c>
      <c r="L690">
        <v>5.6</v>
      </c>
      <c r="M690" t="s">
        <v>1375</v>
      </c>
      <c r="N690">
        <v>1</v>
      </c>
    </row>
    <row r="691" spans="1:14" x14ac:dyDescent="0.35">
      <c r="A691">
        <v>74</v>
      </c>
      <c r="B691" t="s">
        <v>1376</v>
      </c>
      <c r="C691">
        <v>74</v>
      </c>
      <c r="D691">
        <v>9</v>
      </c>
      <c r="E691" t="s">
        <v>44</v>
      </c>
      <c r="F691">
        <v>1.1000000000000001</v>
      </c>
      <c r="G691">
        <v>736</v>
      </c>
      <c r="H691">
        <v>25</v>
      </c>
      <c r="I691">
        <v>750</v>
      </c>
      <c r="J691">
        <v>1.87</v>
      </c>
      <c r="K691">
        <v>9.8000000000000004E-2</v>
      </c>
      <c r="L691">
        <v>5.6</v>
      </c>
      <c r="M691" t="s">
        <v>1377</v>
      </c>
      <c r="N691">
        <v>1</v>
      </c>
    </row>
    <row r="692" spans="1:14" x14ac:dyDescent="0.35">
      <c r="A692">
        <v>73</v>
      </c>
      <c r="B692" t="s">
        <v>1378</v>
      </c>
      <c r="C692">
        <v>73</v>
      </c>
      <c r="D692">
        <v>11</v>
      </c>
      <c r="E692" t="s">
        <v>23</v>
      </c>
      <c r="F692">
        <v>15.1</v>
      </c>
      <c r="G692">
        <v>737</v>
      </c>
      <c r="H692">
        <v>25</v>
      </c>
      <c r="I692">
        <v>750</v>
      </c>
      <c r="J692">
        <v>1.73</v>
      </c>
      <c r="K692">
        <v>9.8000000000000004E-2</v>
      </c>
      <c r="L692">
        <v>5.6</v>
      </c>
      <c r="M692" t="s">
        <v>1379</v>
      </c>
      <c r="N692">
        <v>1</v>
      </c>
    </row>
    <row r="693" spans="1:14" x14ac:dyDescent="0.35">
      <c r="A693">
        <v>72</v>
      </c>
      <c r="B693" t="s">
        <v>1380</v>
      </c>
      <c r="C693" s="3">
        <v>72</v>
      </c>
      <c r="D693">
        <v>3</v>
      </c>
      <c r="E693" t="s">
        <v>20</v>
      </c>
      <c r="F693">
        <v>3.5</v>
      </c>
      <c r="G693">
        <v>738</v>
      </c>
      <c r="H693">
        <v>25</v>
      </c>
      <c r="I693">
        <v>750</v>
      </c>
      <c r="J693">
        <v>1.6</v>
      </c>
      <c r="K693">
        <v>9.9000000000000005E-2</v>
      </c>
      <c r="L693">
        <v>5.6</v>
      </c>
      <c r="M693" t="s">
        <v>1381</v>
      </c>
      <c r="N693">
        <v>0</v>
      </c>
    </row>
    <row r="694" spans="1:14" x14ac:dyDescent="0.35">
      <c r="A694">
        <v>71</v>
      </c>
      <c r="B694" t="s">
        <v>1382</v>
      </c>
      <c r="C694">
        <v>71</v>
      </c>
      <c r="D694">
        <v>11</v>
      </c>
      <c r="E694" t="s">
        <v>23</v>
      </c>
      <c r="F694">
        <v>11.4</v>
      </c>
      <c r="G694">
        <v>737</v>
      </c>
      <c r="H694">
        <v>25</v>
      </c>
      <c r="I694">
        <v>750</v>
      </c>
      <c r="J694">
        <v>1.73</v>
      </c>
      <c r="K694">
        <v>9.8000000000000004E-2</v>
      </c>
      <c r="L694">
        <v>5.6</v>
      </c>
      <c r="M694" t="s">
        <v>1383</v>
      </c>
      <c r="N694">
        <v>1</v>
      </c>
    </row>
    <row r="695" spans="1:14" x14ac:dyDescent="0.35">
      <c r="A695">
        <v>70</v>
      </c>
      <c r="B695" t="s">
        <v>1384</v>
      </c>
      <c r="C695">
        <v>70</v>
      </c>
      <c r="D695">
        <v>11</v>
      </c>
      <c r="E695" t="s">
        <v>23</v>
      </c>
      <c r="F695">
        <v>17.5</v>
      </c>
      <c r="G695">
        <v>738</v>
      </c>
      <c r="H695">
        <v>25</v>
      </c>
      <c r="I695">
        <v>750</v>
      </c>
      <c r="J695">
        <v>1.6</v>
      </c>
      <c r="K695">
        <v>9.8000000000000004E-2</v>
      </c>
      <c r="L695">
        <v>5.7</v>
      </c>
      <c r="M695" t="s">
        <v>1385</v>
      </c>
      <c r="N695">
        <v>1</v>
      </c>
    </row>
    <row r="696" spans="1:14" x14ac:dyDescent="0.35">
      <c r="A696">
        <v>69</v>
      </c>
      <c r="B696" t="s">
        <v>1386</v>
      </c>
      <c r="C696">
        <v>69</v>
      </c>
      <c r="D696">
        <v>11</v>
      </c>
      <c r="E696" t="s">
        <v>23</v>
      </c>
      <c r="F696">
        <v>21.7</v>
      </c>
      <c r="G696">
        <v>736</v>
      </c>
      <c r="H696">
        <v>25</v>
      </c>
      <c r="I696">
        <v>750</v>
      </c>
      <c r="J696">
        <v>1.87</v>
      </c>
      <c r="K696">
        <v>9.9000000000000005E-2</v>
      </c>
      <c r="L696">
        <v>5.6</v>
      </c>
      <c r="M696" t="s">
        <v>1387</v>
      </c>
      <c r="N696">
        <v>1</v>
      </c>
    </row>
    <row r="697" spans="1:14" x14ac:dyDescent="0.35">
      <c r="A697">
        <v>68</v>
      </c>
      <c r="B697" t="s">
        <v>1388</v>
      </c>
      <c r="C697">
        <v>68</v>
      </c>
      <c r="D697">
        <v>11</v>
      </c>
      <c r="E697" t="s">
        <v>23</v>
      </c>
      <c r="F697">
        <v>5.3</v>
      </c>
      <c r="G697">
        <v>738</v>
      </c>
      <c r="H697">
        <v>25</v>
      </c>
      <c r="I697">
        <v>750</v>
      </c>
      <c r="J697">
        <v>1.6</v>
      </c>
      <c r="K697">
        <v>9.8000000000000004E-2</v>
      </c>
      <c r="L697">
        <v>5.6</v>
      </c>
      <c r="M697" t="s">
        <v>1389</v>
      </c>
      <c r="N697">
        <v>1</v>
      </c>
    </row>
    <row r="698" spans="1:14" x14ac:dyDescent="0.35">
      <c r="A698">
        <v>67</v>
      </c>
      <c r="B698" t="s">
        <v>1390</v>
      </c>
      <c r="C698">
        <v>67</v>
      </c>
      <c r="D698">
        <v>6</v>
      </c>
      <c r="E698" t="s">
        <v>14</v>
      </c>
      <c r="F698">
        <v>1.3</v>
      </c>
      <c r="G698">
        <v>737</v>
      </c>
      <c r="H698">
        <v>25</v>
      </c>
      <c r="I698">
        <v>750</v>
      </c>
      <c r="J698">
        <v>1.73</v>
      </c>
      <c r="K698">
        <v>9.8000000000000004E-2</v>
      </c>
      <c r="L698">
        <v>5.6</v>
      </c>
      <c r="M698" t="s">
        <v>1391</v>
      </c>
      <c r="N698">
        <v>1</v>
      </c>
    </row>
    <row r="699" spans="1:14" x14ac:dyDescent="0.35">
      <c r="A699">
        <v>66</v>
      </c>
      <c r="B699" t="s">
        <v>1392</v>
      </c>
      <c r="C699">
        <v>66</v>
      </c>
      <c r="D699">
        <v>11</v>
      </c>
      <c r="E699" t="s">
        <v>23</v>
      </c>
      <c r="F699">
        <v>15.7</v>
      </c>
      <c r="G699">
        <v>738</v>
      </c>
      <c r="H699">
        <v>25</v>
      </c>
      <c r="I699">
        <v>750</v>
      </c>
      <c r="J699">
        <v>1.6</v>
      </c>
      <c r="K699">
        <v>9.8000000000000004E-2</v>
      </c>
      <c r="L699">
        <v>5.6</v>
      </c>
      <c r="M699" t="s">
        <v>1393</v>
      </c>
      <c r="N699">
        <v>1</v>
      </c>
    </row>
    <row r="700" spans="1:14" x14ac:dyDescent="0.35">
      <c r="A700">
        <v>65</v>
      </c>
      <c r="B700" t="s">
        <v>1394</v>
      </c>
      <c r="C700">
        <v>65</v>
      </c>
      <c r="D700">
        <v>3</v>
      </c>
      <c r="E700" t="s">
        <v>20</v>
      </c>
      <c r="F700">
        <v>1</v>
      </c>
      <c r="G700">
        <v>738</v>
      </c>
      <c r="H700">
        <v>25</v>
      </c>
      <c r="I700">
        <v>750</v>
      </c>
      <c r="J700">
        <v>1.6</v>
      </c>
      <c r="K700">
        <v>9.8000000000000004E-2</v>
      </c>
      <c r="L700">
        <v>5.6</v>
      </c>
      <c r="M700" t="s">
        <v>1395</v>
      </c>
      <c r="N700">
        <v>1</v>
      </c>
    </row>
    <row r="701" spans="1:14" x14ac:dyDescent="0.35">
      <c r="A701">
        <v>64</v>
      </c>
      <c r="B701" t="s">
        <v>1396</v>
      </c>
      <c r="C701">
        <v>64</v>
      </c>
      <c r="D701">
        <v>5</v>
      </c>
      <c r="E701" t="s">
        <v>35</v>
      </c>
      <c r="F701">
        <v>1.3</v>
      </c>
      <c r="G701">
        <v>737</v>
      </c>
      <c r="H701">
        <v>25</v>
      </c>
      <c r="I701">
        <v>750</v>
      </c>
      <c r="J701">
        <v>1.73</v>
      </c>
      <c r="K701">
        <v>9.8000000000000004E-2</v>
      </c>
      <c r="L701">
        <v>5.6</v>
      </c>
      <c r="M701" t="s">
        <v>1397</v>
      </c>
      <c r="N701">
        <v>1</v>
      </c>
    </row>
    <row r="702" spans="1:14" x14ac:dyDescent="0.35">
      <c r="A702">
        <v>63</v>
      </c>
      <c r="B702" t="s">
        <v>1398</v>
      </c>
      <c r="C702">
        <v>63</v>
      </c>
      <c r="D702">
        <v>6</v>
      </c>
      <c r="E702" t="s">
        <v>14</v>
      </c>
      <c r="F702">
        <v>1.2</v>
      </c>
      <c r="G702">
        <v>738</v>
      </c>
      <c r="H702">
        <v>25</v>
      </c>
      <c r="I702">
        <v>750</v>
      </c>
      <c r="J702">
        <v>1.6</v>
      </c>
      <c r="K702">
        <v>9.8000000000000004E-2</v>
      </c>
      <c r="L702">
        <v>5.7</v>
      </c>
      <c r="M702" t="s">
        <v>1399</v>
      </c>
      <c r="N702">
        <v>1</v>
      </c>
    </row>
    <row r="703" spans="1:14" x14ac:dyDescent="0.35">
      <c r="A703">
        <v>62</v>
      </c>
      <c r="B703" t="s">
        <v>1400</v>
      </c>
      <c r="C703">
        <v>62</v>
      </c>
      <c r="D703">
        <v>11</v>
      </c>
      <c r="E703" t="s">
        <v>23</v>
      </c>
      <c r="F703">
        <v>14.9</v>
      </c>
      <c r="G703">
        <v>735</v>
      </c>
      <c r="H703">
        <v>25</v>
      </c>
      <c r="I703">
        <v>750</v>
      </c>
      <c r="J703">
        <v>2</v>
      </c>
      <c r="K703">
        <v>9.8000000000000004E-2</v>
      </c>
      <c r="L703">
        <v>5.7</v>
      </c>
      <c r="M703" t="s">
        <v>1401</v>
      </c>
      <c r="N703">
        <v>1</v>
      </c>
    </row>
    <row r="704" spans="1:14" x14ac:dyDescent="0.35">
      <c r="A704">
        <v>61</v>
      </c>
      <c r="B704" t="s">
        <v>1402</v>
      </c>
      <c r="C704">
        <v>61</v>
      </c>
      <c r="D704">
        <v>3</v>
      </c>
      <c r="E704" t="s">
        <v>20</v>
      </c>
      <c r="F704">
        <v>1.2</v>
      </c>
      <c r="G704">
        <v>737</v>
      </c>
      <c r="H704">
        <v>25</v>
      </c>
      <c r="I704">
        <v>750</v>
      </c>
      <c r="J704">
        <v>1.73</v>
      </c>
      <c r="K704">
        <v>9.8000000000000004E-2</v>
      </c>
      <c r="L704">
        <v>5.6</v>
      </c>
      <c r="M704" t="s">
        <v>1403</v>
      </c>
      <c r="N704">
        <v>1</v>
      </c>
    </row>
    <row r="705" spans="1:14" x14ac:dyDescent="0.35">
      <c r="A705">
        <v>60</v>
      </c>
      <c r="B705" t="s">
        <v>1404</v>
      </c>
      <c r="C705">
        <v>60</v>
      </c>
      <c r="D705">
        <v>7</v>
      </c>
      <c r="E705" t="s">
        <v>17</v>
      </c>
      <c r="F705">
        <v>2.8</v>
      </c>
      <c r="G705">
        <v>735</v>
      </c>
      <c r="H705">
        <v>25</v>
      </c>
      <c r="I705">
        <v>750</v>
      </c>
      <c r="J705">
        <v>2</v>
      </c>
      <c r="K705">
        <v>9.8000000000000004E-2</v>
      </c>
      <c r="L705">
        <v>5.7</v>
      </c>
      <c r="M705" t="s">
        <v>1405</v>
      </c>
      <c r="N705">
        <v>1</v>
      </c>
    </row>
    <row r="706" spans="1:14" x14ac:dyDescent="0.35">
      <c r="A706">
        <v>59</v>
      </c>
      <c r="B706" t="s">
        <v>1406</v>
      </c>
      <c r="C706">
        <v>59</v>
      </c>
      <c r="D706">
        <v>8</v>
      </c>
      <c r="E706" t="s">
        <v>38</v>
      </c>
      <c r="F706">
        <v>2.1</v>
      </c>
      <c r="G706">
        <v>736</v>
      </c>
      <c r="H706">
        <v>25</v>
      </c>
      <c r="I706">
        <v>750</v>
      </c>
      <c r="J706">
        <v>1.87</v>
      </c>
      <c r="K706">
        <v>9.9000000000000005E-2</v>
      </c>
      <c r="L706">
        <v>5.6</v>
      </c>
      <c r="M706" t="s">
        <v>1407</v>
      </c>
      <c r="N706">
        <v>1</v>
      </c>
    </row>
    <row r="707" spans="1:14" x14ac:dyDescent="0.35">
      <c r="A707">
        <v>58</v>
      </c>
      <c r="B707" t="s">
        <v>1408</v>
      </c>
      <c r="C707">
        <v>58</v>
      </c>
      <c r="D707">
        <v>11</v>
      </c>
      <c r="E707" t="s">
        <v>23</v>
      </c>
      <c r="F707">
        <v>38.5</v>
      </c>
      <c r="G707">
        <v>737</v>
      </c>
      <c r="H707">
        <v>25</v>
      </c>
      <c r="I707">
        <v>750</v>
      </c>
      <c r="J707">
        <v>1.73</v>
      </c>
      <c r="K707">
        <v>9.9000000000000005E-2</v>
      </c>
      <c r="L707">
        <v>5.7</v>
      </c>
      <c r="M707" t="s">
        <v>1409</v>
      </c>
      <c r="N707">
        <v>1</v>
      </c>
    </row>
    <row r="708" spans="1:14" x14ac:dyDescent="0.35">
      <c r="A708">
        <v>57</v>
      </c>
      <c r="B708" t="s">
        <v>1410</v>
      </c>
      <c r="C708">
        <v>57</v>
      </c>
      <c r="D708">
        <v>9</v>
      </c>
      <c r="E708" t="s">
        <v>44</v>
      </c>
      <c r="F708">
        <v>0.9</v>
      </c>
      <c r="G708">
        <v>735</v>
      </c>
      <c r="H708">
        <v>25</v>
      </c>
      <c r="I708">
        <v>750</v>
      </c>
      <c r="J708">
        <v>2</v>
      </c>
      <c r="K708">
        <v>9.8000000000000004E-2</v>
      </c>
      <c r="L708">
        <v>5.7</v>
      </c>
      <c r="M708" t="s">
        <v>1411</v>
      </c>
      <c r="N708">
        <v>1</v>
      </c>
    </row>
    <row r="709" spans="1:14" x14ac:dyDescent="0.35">
      <c r="A709">
        <v>56</v>
      </c>
      <c r="B709" t="s">
        <v>1412</v>
      </c>
      <c r="C709">
        <v>56</v>
      </c>
      <c r="D709">
        <v>11</v>
      </c>
      <c r="E709" t="s">
        <v>23</v>
      </c>
      <c r="F709">
        <v>21.7</v>
      </c>
      <c r="G709">
        <v>736</v>
      </c>
      <c r="H709">
        <v>25</v>
      </c>
      <c r="I709">
        <v>750</v>
      </c>
      <c r="J709">
        <v>1.87</v>
      </c>
      <c r="K709">
        <v>9.8000000000000004E-2</v>
      </c>
      <c r="L709">
        <v>5.6</v>
      </c>
      <c r="M709" t="s">
        <v>1413</v>
      </c>
      <c r="N709">
        <v>1</v>
      </c>
    </row>
    <row r="710" spans="1:14" x14ac:dyDescent="0.35">
      <c r="A710">
        <v>55</v>
      </c>
      <c r="B710" t="s">
        <v>1414</v>
      </c>
      <c r="C710">
        <v>55</v>
      </c>
      <c r="D710">
        <v>5</v>
      </c>
      <c r="E710" t="s">
        <v>35</v>
      </c>
      <c r="F710">
        <v>1.1000000000000001</v>
      </c>
      <c r="G710">
        <v>735</v>
      </c>
      <c r="H710">
        <v>25</v>
      </c>
      <c r="I710">
        <v>750</v>
      </c>
      <c r="J710">
        <v>2</v>
      </c>
      <c r="K710">
        <v>9.8000000000000004E-2</v>
      </c>
      <c r="L710">
        <v>5.6</v>
      </c>
      <c r="M710" t="s">
        <v>1415</v>
      </c>
      <c r="N710">
        <v>1</v>
      </c>
    </row>
    <row r="711" spans="1:14" x14ac:dyDescent="0.35">
      <c r="A711">
        <v>54</v>
      </c>
      <c r="B711" t="s">
        <v>1416</v>
      </c>
      <c r="C711">
        <v>54</v>
      </c>
      <c r="D711">
        <v>8</v>
      </c>
      <c r="E711" t="s">
        <v>38</v>
      </c>
      <c r="F711">
        <v>2.2000000000000002</v>
      </c>
      <c r="G711">
        <v>738</v>
      </c>
      <c r="H711">
        <v>25</v>
      </c>
      <c r="I711">
        <v>750</v>
      </c>
      <c r="J711">
        <v>1.6</v>
      </c>
      <c r="K711">
        <v>9.8000000000000004E-2</v>
      </c>
      <c r="L711">
        <v>5.6</v>
      </c>
      <c r="M711" t="s">
        <v>1417</v>
      </c>
      <c r="N711">
        <v>1</v>
      </c>
    </row>
    <row r="712" spans="1:14" x14ac:dyDescent="0.35">
      <c r="A712">
        <v>53</v>
      </c>
      <c r="B712" t="s">
        <v>1418</v>
      </c>
      <c r="C712">
        <v>53</v>
      </c>
      <c r="D712">
        <v>6</v>
      </c>
      <c r="E712" t="s">
        <v>14</v>
      </c>
      <c r="F712">
        <v>1.3</v>
      </c>
      <c r="G712">
        <v>737</v>
      </c>
      <c r="H712">
        <v>25</v>
      </c>
      <c r="I712">
        <v>750</v>
      </c>
      <c r="J712">
        <v>1.73</v>
      </c>
      <c r="K712">
        <v>9.9000000000000005E-2</v>
      </c>
      <c r="L712">
        <v>5.6</v>
      </c>
      <c r="M712" t="s">
        <v>1419</v>
      </c>
      <c r="N712">
        <v>1</v>
      </c>
    </row>
    <row r="713" spans="1:14" x14ac:dyDescent="0.35">
      <c r="A713">
        <v>52</v>
      </c>
      <c r="B713" t="s">
        <v>1420</v>
      </c>
      <c r="C713">
        <v>52</v>
      </c>
      <c r="D713">
        <v>1</v>
      </c>
      <c r="E713" t="s">
        <v>41</v>
      </c>
      <c r="F713">
        <v>2.9</v>
      </c>
      <c r="G713">
        <v>737</v>
      </c>
      <c r="H713">
        <v>25</v>
      </c>
      <c r="I713">
        <v>750</v>
      </c>
      <c r="J713">
        <v>1.73</v>
      </c>
      <c r="K713">
        <v>9.8000000000000004E-2</v>
      </c>
      <c r="L713">
        <v>5.6</v>
      </c>
      <c r="M713" t="s">
        <v>1421</v>
      </c>
      <c r="N713">
        <v>1</v>
      </c>
    </row>
    <row r="714" spans="1:14" x14ac:dyDescent="0.35">
      <c r="A714">
        <v>51</v>
      </c>
      <c r="B714" t="s">
        <v>1422</v>
      </c>
      <c r="C714">
        <v>51</v>
      </c>
      <c r="D714">
        <v>9</v>
      </c>
      <c r="E714" t="s">
        <v>44</v>
      </c>
      <c r="F714">
        <v>1.2</v>
      </c>
      <c r="G714">
        <v>736</v>
      </c>
      <c r="H714">
        <v>25</v>
      </c>
      <c r="I714">
        <v>750</v>
      </c>
      <c r="J714">
        <v>1.87</v>
      </c>
      <c r="K714">
        <v>9.8000000000000004E-2</v>
      </c>
      <c r="L714">
        <v>5.6</v>
      </c>
      <c r="M714" t="s">
        <v>1423</v>
      </c>
      <c r="N714">
        <v>1</v>
      </c>
    </row>
    <row r="715" spans="1:14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x14ac:dyDescent="0.35">
      <c r="A716">
        <v>50</v>
      </c>
      <c r="B716" t="s">
        <v>1424</v>
      </c>
      <c r="C716">
        <v>50</v>
      </c>
      <c r="D716">
        <v>4</v>
      </c>
      <c r="E716" t="s">
        <v>28</v>
      </c>
      <c r="F716">
        <v>2.4</v>
      </c>
      <c r="G716">
        <v>589</v>
      </c>
      <c r="H716">
        <v>20</v>
      </c>
      <c r="I716">
        <v>600</v>
      </c>
      <c r="J716">
        <v>1.83</v>
      </c>
      <c r="K716">
        <v>7.8E-2</v>
      </c>
      <c r="L716">
        <v>7.1</v>
      </c>
      <c r="M716" t="s">
        <v>1425</v>
      </c>
      <c r="N716">
        <v>1</v>
      </c>
    </row>
    <row r="717" spans="1:14" x14ac:dyDescent="0.35">
      <c r="A717">
        <v>49</v>
      </c>
      <c r="B717" t="s">
        <v>1426</v>
      </c>
      <c r="C717">
        <v>49</v>
      </c>
      <c r="D717">
        <v>11</v>
      </c>
      <c r="E717" t="s">
        <v>23</v>
      </c>
      <c r="F717">
        <v>22.2</v>
      </c>
      <c r="G717">
        <v>587</v>
      </c>
      <c r="H717">
        <v>20</v>
      </c>
      <c r="I717">
        <v>600</v>
      </c>
      <c r="J717">
        <v>2.17</v>
      </c>
      <c r="K717">
        <v>7.8E-2</v>
      </c>
      <c r="L717">
        <v>7.1</v>
      </c>
      <c r="M717" t="s">
        <v>1427</v>
      </c>
      <c r="N717">
        <v>1</v>
      </c>
    </row>
    <row r="718" spans="1:14" x14ac:dyDescent="0.35">
      <c r="A718">
        <v>48</v>
      </c>
      <c r="B718" t="s">
        <v>1428</v>
      </c>
      <c r="C718">
        <v>48</v>
      </c>
      <c r="D718">
        <v>1</v>
      </c>
      <c r="E718" t="s">
        <v>41</v>
      </c>
      <c r="F718">
        <v>3.1</v>
      </c>
      <c r="G718">
        <v>589</v>
      </c>
      <c r="H718">
        <v>20</v>
      </c>
      <c r="I718">
        <v>600</v>
      </c>
      <c r="J718">
        <v>1.83</v>
      </c>
      <c r="K718">
        <v>7.8E-2</v>
      </c>
      <c r="L718">
        <v>7</v>
      </c>
      <c r="M718" t="s">
        <v>1429</v>
      </c>
      <c r="N718">
        <v>1</v>
      </c>
    </row>
    <row r="719" spans="1:14" x14ac:dyDescent="0.35">
      <c r="A719">
        <v>47</v>
      </c>
      <c r="B719" t="s">
        <v>1430</v>
      </c>
      <c r="C719">
        <v>47</v>
      </c>
      <c r="D719">
        <v>9</v>
      </c>
      <c r="E719" t="s">
        <v>44</v>
      </c>
      <c r="F719">
        <v>1</v>
      </c>
      <c r="G719">
        <v>588</v>
      </c>
      <c r="H719">
        <v>20</v>
      </c>
      <c r="I719">
        <v>600</v>
      </c>
      <c r="J719">
        <v>2</v>
      </c>
      <c r="K719">
        <v>7.8E-2</v>
      </c>
      <c r="L719">
        <v>7</v>
      </c>
      <c r="M719" t="s">
        <v>1431</v>
      </c>
      <c r="N719">
        <v>1</v>
      </c>
    </row>
    <row r="720" spans="1:14" x14ac:dyDescent="0.35">
      <c r="A720">
        <v>46</v>
      </c>
      <c r="B720" t="s">
        <v>1432</v>
      </c>
      <c r="C720">
        <v>46</v>
      </c>
      <c r="D720">
        <v>2</v>
      </c>
      <c r="E720" t="s">
        <v>74</v>
      </c>
      <c r="F720">
        <v>1.2</v>
      </c>
      <c r="G720">
        <v>589</v>
      </c>
      <c r="H720">
        <v>20</v>
      </c>
      <c r="I720">
        <v>600</v>
      </c>
      <c r="J720">
        <v>1.83</v>
      </c>
      <c r="K720">
        <v>7.8E-2</v>
      </c>
      <c r="L720">
        <v>7</v>
      </c>
      <c r="M720" t="s">
        <v>1433</v>
      </c>
      <c r="N720">
        <v>1</v>
      </c>
    </row>
    <row r="721" spans="1:14" x14ac:dyDescent="0.35">
      <c r="A721">
        <v>45</v>
      </c>
      <c r="B721" t="s">
        <v>1434</v>
      </c>
      <c r="C721">
        <v>45</v>
      </c>
      <c r="D721">
        <v>11</v>
      </c>
      <c r="E721" t="s">
        <v>23</v>
      </c>
      <c r="F721">
        <v>5.2</v>
      </c>
      <c r="G721">
        <v>588</v>
      </c>
      <c r="H721">
        <v>20</v>
      </c>
      <c r="I721">
        <v>600</v>
      </c>
      <c r="J721">
        <v>2</v>
      </c>
      <c r="K721">
        <v>7.8E-2</v>
      </c>
      <c r="L721">
        <v>7</v>
      </c>
      <c r="M721" t="s">
        <v>1435</v>
      </c>
      <c r="N721">
        <v>1</v>
      </c>
    </row>
    <row r="722" spans="1:14" x14ac:dyDescent="0.35">
      <c r="A722">
        <v>44</v>
      </c>
      <c r="B722" t="s">
        <v>1436</v>
      </c>
      <c r="C722">
        <v>44</v>
      </c>
      <c r="D722">
        <v>1</v>
      </c>
      <c r="E722" t="s">
        <v>41</v>
      </c>
      <c r="F722">
        <v>4</v>
      </c>
      <c r="G722">
        <v>588</v>
      </c>
      <c r="H722">
        <v>20</v>
      </c>
      <c r="I722">
        <v>600</v>
      </c>
      <c r="J722">
        <v>2</v>
      </c>
      <c r="K722">
        <v>7.9000000000000001E-2</v>
      </c>
      <c r="L722">
        <v>7</v>
      </c>
      <c r="M722" t="s">
        <v>1437</v>
      </c>
      <c r="N722">
        <v>1</v>
      </c>
    </row>
    <row r="723" spans="1:14" x14ac:dyDescent="0.35">
      <c r="A723">
        <v>43</v>
      </c>
      <c r="B723" t="s">
        <v>1438</v>
      </c>
      <c r="C723">
        <v>43</v>
      </c>
      <c r="D723">
        <v>3</v>
      </c>
      <c r="E723" t="s">
        <v>20</v>
      </c>
      <c r="F723">
        <v>1.1000000000000001</v>
      </c>
      <c r="G723">
        <v>588</v>
      </c>
      <c r="H723">
        <v>20</v>
      </c>
      <c r="I723">
        <v>600</v>
      </c>
      <c r="J723">
        <v>2</v>
      </c>
      <c r="K723">
        <v>7.8E-2</v>
      </c>
      <c r="L723">
        <v>7</v>
      </c>
      <c r="M723" t="s">
        <v>1439</v>
      </c>
      <c r="N723">
        <v>1</v>
      </c>
    </row>
    <row r="724" spans="1:14" x14ac:dyDescent="0.35">
      <c r="A724">
        <v>42</v>
      </c>
      <c r="B724" t="s">
        <v>1440</v>
      </c>
      <c r="C724">
        <v>42</v>
      </c>
      <c r="D724">
        <v>2</v>
      </c>
      <c r="E724" t="s">
        <v>74</v>
      </c>
      <c r="F724">
        <v>1.3</v>
      </c>
      <c r="G724">
        <v>589</v>
      </c>
      <c r="H724">
        <v>20</v>
      </c>
      <c r="I724">
        <v>600</v>
      </c>
      <c r="J724">
        <v>1.83</v>
      </c>
      <c r="K724">
        <v>7.8E-2</v>
      </c>
      <c r="L724">
        <v>7.1</v>
      </c>
      <c r="M724" t="s">
        <v>1441</v>
      </c>
      <c r="N724">
        <v>1</v>
      </c>
    </row>
    <row r="725" spans="1:14" x14ac:dyDescent="0.35">
      <c r="A725">
        <v>41</v>
      </c>
      <c r="B725" t="s">
        <v>1442</v>
      </c>
      <c r="C725">
        <v>41</v>
      </c>
      <c r="D725">
        <v>6</v>
      </c>
      <c r="E725" t="s">
        <v>14</v>
      </c>
      <c r="F725">
        <v>1.4</v>
      </c>
      <c r="G725">
        <v>588</v>
      </c>
      <c r="H725">
        <v>20</v>
      </c>
      <c r="I725">
        <v>600</v>
      </c>
      <c r="J725">
        <v>2</v>
      </c>
      <c r="K725">
        <v>7.8E-2</v>
      </c>
      <c r="L725">
        <v>7</v>
      </c>
      <c r="M725" t="s">
        <v>1443</v>
      </c>
      <c r="N725">
        <v>1</v>
      </c>
    </row>
    <row r="726" spans="1:14" x14ac:dyDescent="0.35">
      <c r="A726">
        <v>40</v>
      </c>
      <c r="B726" t="s">
        <v>1444</v>
      </c>
      <c r="C726">
        <v>40</v>
      </c>
      <c r="D726">
        <v>5</v>
      </c>
      <c r="E726" t="s">
        <v>35</v>
      </c>
      <c r="F726">
        <v>1.2</v>
      </c>
      <c r="G726">
        <v>586</v>
      </c>
      <c r="H726">
        <v>20</v>
      </c>
      <c r="I726">
        <v>600</v>
      </c>
      <c r="J726">
        <v>2.33</v>
      </c>
      <c r="K726">
        <v>7.9000000000000001E-2</v>
      </c>
      <c r="L726">
        <v>7</v>
      </c>
      <c r="M726" t="s">
        <v>1445</v>
      </c>
      <c r="N726">
        <v>1</v>
      </c>
    </row>
    <row r="727" spans="1:14" x14ac:dyDescent="0.35">
      <c r="A727">
        <v>39</v>
      </c>
      <c r="B727" t="s">
        <v>1446</v>
      </c>
      <c r="C727">
        <v>39</v>
      </c>
      <c r="D727">
        <v>3</v>
      </c>
      <c r="E727" t="s">
        <v>20</v>
      </c>
      <c r="F727">
        <v>1.1000000000000001</v>
      </c>
      <c r="G727">
        <v>586</v>
      </c>
      <c r="H727">
        <v>20</v>
      </c>
      <c r="I727">
        <v>600</v>
      </c>
      <c r="J727">
        <v>2.33</v>
      </c>
      <c r="K727">
        <v>7.8E-2</v>
      </c>
      <c r="L727">
        <v>7</v>
      </c>
      <c r="M727" t="s">
        <v>1447</v>
      </c>
      <c r="N727">
        <v>1</v>
      </c>
    </row>
    <row r="728" spans="1:14" x14ac:dyDescent="0.35">
      <c r="A728">
        <v>38</v>
      </c>
      <c r="B728" t="s">
        <v>1448</v>
      </c>
      <c r="C728">
        <v>38</v>
      </c>
      <c r="D728">
        <v>1</v>
      </c>
      <c r="E728" t="s">
        <v>41</v>
      </c>
      <c r="F728">
        <v>3.4</v>
      </c>
      <c r="G728">
        <v>588</v>
      </c>
      <c r="H728">
        <v>20</v>
      </c>
      <c r="I728">
        <v>600</v>
      </c>
      <c r="J728">
        <v>2</v>
      </c>
      <c r="K728">
        <v>7.8E-2</v>
      </c>
      <c r="L728">
        <v>7.1</v>
      </c>
      <c r="M728" t="s">
        <v>1449</v>
      </c>
      <c r="N728">
        <v>1</v>
      </c>
    </row>
    <row r="729" spans="1:14" x14ac:dyDescent="0.35">
      <c r="A729">
        <v>37</v>
      </c>
      <c r="B729" t="s">
        <v>1450</v>
      </c>
      <c r="C729">
        <v>37</v>
      </c>
      <c r="D729">
        <v>11</v>
      </c>
      <c r="E729" t="s">
        <v>23</v>
      </c>
      <c r="F729">
        <v>22.3</v>
      </c>
      <c r="G729">
        <v>589</v>
      </c>
      <c r="H729">
        <v>20</v>
      </c>
      <c r="I729">
        <v>600</v>
      </c>
      <c r="J729">
        <v>1.83</v>
      </c>
      <c r="K729">
        <v>7.8E-2</v>
      </c>
      <c r="L729">
        <v>7</v>
      </c>
      <c r="M729" t="s">
        <v>1451</v>
      </c>
      <c r="N729">
        <v>1</v>
      </c>
    </row>
    <row r="730" spans="1:14" x14ac:dyDescent="0.35">
      <c r="A730">
        <v>36</v>
      </c>
      <c r="B730" t="s">
        <v>1452</v>
      </c>
      <c r="C730">
        <v>36</v>
      </c>
      <c r="D730">
        <v>11</v>
      </c>
      <c r="E730" t="s">
        <v>23</v>
      </c>
      <c r="F730">
        <v>15.9</v>
      </c>
      <c r="G730">
        <v>586</v>
      </c>
      <c r="H730">
        <v>20</v>
      </c>
      <c r="I730">
        <v>600</v>
      </c>
      <c r="J730">
        <v>2.33</v>
      </c>
      <c r="K730">
        <v>7.8E-2</v>
      </c>
      <c r="L730">
        <v>7.1</v>
      </c>
      <c r="M730" t="s">
        <v>1453</v>
      </c>
      <c r="N730">
        <v>1</v>
      </c>
    </row>
    <row r="731" spans="1:14" x14ac:dyDescent="0.35">
      <c r="A731">
        <v>35</v>
      </c>
      <c r="B731" t="s">
        <v>1454</v>
      </c>
      <c r="C731">
        <v>35</v>
      </c>
      <c r="D731">
        <v>11</v>
      </c>
      <c r="E731" t="s">
        <v>23</v>
      </c>
      <c r="F731">
        <v>32.700000000000003</v>
      </c>
      <c r="G731">
        <v>590</v>
      </c>
      <c r="H731">
        <v>20</v>
      </c>
      <c r="I731">
        <v>600</v>
      </c>
      <c r="J731">
        <v>1.67</v>
      </c>
      <c r="K731">
        <v>7.8E-2</v>
      </c>
      <c r="L731">
        <v>7</v>
      </c>
      <c r="M731" t="s">
        <v>1455</v>
      </c>
      <c r="N731">
        <v>1</v>
      </c>
    </row>
    <row r="732" spans="1:14" x14ac:dyDescent="0.35">
      <c r="A732">
        <v>34</v>
      </c>
      <c r="B732" t="s">
        <v>1456</v>
      </c>
      <c r="C732">
        <v>34</v>
      </c>
      <c r="D732">
        <v>5</v>
      </c>
      <c r="E732" t="s">
        <v>35</v>
      </c>
      <c r="F732">
        <v>1.3</v>
      </c>
      <c r="G732">
        <v>588</v>
      </c>
      <c r="H732">
        <v>20</v>
      </c>
      <c r="I732">
        <v>600</v>
      </c>
      <c r="J732">
        <v>2</v>
      </c>
      <c r="K732">
        <v>7.8E-2</v>
      </c>
      <c r="L732">
        <v>7</v>
      </c>
      <c r="M732" t="s">
        <v>1457</v>
      </c>
      <c r="N732">
        <v>1</v>
      </c>
    </row>
    <row r="733" spans="1:14" x14ac:dyDescent="0.35">
      <c r="A733">
        <v>33</v>
      </c>
      <c r="B733" t="s">
        <v>1458</v>
      </c>
      <c r="C733">
        <v>33</v>
      </c>
      <c r="D733">
        <v>4</v>
      </c>
      <c r="E733" t="s">
        <v>28</v>
      </c>
      <c r="F733">
        <v>2.4</v>
      </c>
      <c r="G733">
        <v>589</v>
      </c>
      <c r="H733">
        <v>20</v>
      </c>
      <c r="I733">
        <v>600</v>
      </c>
      <c r="J733">
        <v>1.83</v>
      </c>
      <c r="K733">
        <v>7.8E-2</v>
      </c>
      <c r="L733">
        <v>7</v>
      </c>
      <c r="M733" t="s">
        <v>1459</v>
      </c>
      <c r="N733">
        <v>1</v>
      </c>
    </row>
    <row r="734" spans="1:14" x14ac:dyDescent="0.35">
      <c r="A734">
        <v>32</v>
      </c>
      <c r="B734" t="s">
        <v>1460</v>
      </c>
      <c r="C734">
        <v>32</v>
      </c>
      <c r="D734">
        <v>3</v>
      </c>
      <c r="E734" t="s">
        <v>20</v>
      </c>
      <c r="F734">
        <v>1.1000000000000001</v>
      </c>
      <c r="G734">
        <v>589</v>
      </c>
      <c r="H734">
        <v>20</v>
      </c>
      <c r="I734">
        <v>600</v>
      </c>
      <c r="J734">
        <v>1.83</v>
      </c>
      <c r="K734">
        <v>7.8E-2</v>
      </c>
      <c r="L734">
        <v>7</v>
      </c>
      <c r="M734" t="s">
        <v>1461</v>
      </c>
      <c r="N734">
        <v>1</v>
      </c>
    </row>
    <row r="735" spans="1:14" x14ac:dyDescent="0.35">
      <c r="A735">
        <v>31</v>
      </c>
      <c r="B735" t="s">
        <v>1462</v>
      </c>
      <c r="C735">
        <v>31</v>
      </c>
      <c r="D735">
        <v>11</v>
      </c>
      <c r="E735" t="s">
        <v>23</v>
      </c>
      <c r="F735">
        <v>16.899999999999999</v>
      </c>
      <c r="G735">
        <v>590</v>
      </c>
      <c r="H735">
        <v>20</v>
      </c>
      <c r="I735">
        <v>600</v>
      </c>
      <c r="J735">
        <v>1.67</v>
      </c>
      <c r="K735">
        <v>7.8E-2</v>
      </c>
      <c r="L735">
        <v>7</v>
      </c>
      <c r="M735" t="s">
        <v>1463</v>
      </c>
      <c r="N735">
        <v>1</v>
      </c>
    </row>
    <row r="736" spans="1:14" x14ac:dyDescent="0.35">
      <c r="A736">
        <v>30</v>
      </c>
      <c r="B736" t="s">
        <v>1464</v>
      </c>
      <c r="C736">
        <v>30</v>
      </c>
      <c r="D736">
        <v>5</v>
      </c>
      <c r="E736" t="s">
        <v>35</v>
      </c>
      <c r="F736">
        <v>1.2</v>
      </c>
      <c r="G736">
        <v>587</v>
      </c>
      <c r="H736">
        <v>20</v>
      </c>
      <c r="I736">
        <v>600</v>
      </c>
      <c r="J736">
        <v>2.17</v>
      </c>
      <c r="K736">
        <v>7.8E-2</v>
      </c>
      <c r="L736">
        <v>7</v>
      </c>
      <c r="M736" t="s">
        <v>1465</v>
      </c>
      <c r="N736">
        <v>1</v>
      </c>
    </row>
    <row r="737" spans="1:14" x14ac:dyDescent="0.35">
      <c r="A737">
        <v>29</v>
      </c>
      <c r="B737" t="s">
        <v>1466</v>
      </c>
      <c r="C737">
        <v>29</v>
      </c>
      <c r="D737">
        <v>11</v>
      </c>
      <c r="E737" t="s">
        <v>23</v>
      </c>
      <c r="F737">
        <v>15.4</v>
      </c>
      <c r="G737">
        <v>586</v>
      </c>
      <c r="H737">
        <v>20</v>
      </c>
      <c r="I737">
        <v>600</v>
      </c>
      <c r="J737">
        <v>2.33</v>
      </c>
      <c r="K737">
        <v>7.8E-2</v>
      </c>
      <c r="L737">
        <v>7</v>
      </c>
      <c r="M737" t="s">
        <v>1467</v>
      </c>
      <c r="N737">
        <v>1</v>
      </c>
    </row>
    <row r="738" spans="1:14" x14ac:dyDescent="0.35">
      <c r="A738">
        <v>28</v>
      </c>
      <c r="B738" t="s">
        <v>1468</v>
      </c>
      <c r="C738">
        <v>28</v>
      </c>
      <c r="D738">
        <v>8</v>
      </c>
      <c r="E738" t="s">
        <v>38</v>
      </c>
      <c r="F738">
        <v>2.5</v>
      </c>
      <c r="G738">
        <v>588</v>
      </c>
      <c r="H738">
        <v>20</v>
      </c>
      <c r="I738">
        <v>600</v>
      </c>
      <c r="J738">
        <v>2</v>
      </c>
      <c r="K738">
        <v>7.8E-2</v>
      </c>
      <c r="L738">
        <v>7.1</v>
      </c>
      <c r="M738" t="s">
        <v>1469</v>
      </c>
      <c r="N738">
        <v>1</v>
      </c>
    </row>
    <row r="739" spans="1:14" x14ac:dyDescent="0.35">
      <c r="A739">
        <v>27</v>
      </c>
      <c r="B739" t="s">
        <v>1470</v>
      </c>
      <c r="C739">
        <v>27</v>
      </c>
      <c r="D739">
        <v>11</v>
      </c>
      <c r="E739" t="s">
        <v>23</v>
      </c>
      <c r="F739">
        <v>22.2</v>
      </c>
      <c r="G739">
        <v>589</v>
      </c>
      <c r="H739">
        <v>20</v>
      </c>
      <c r="I739">
        <v>600</v>
      </c>
      <c r="J739">
        <v>1.83</v>
      </c>
      <c r="K739">
        <v>7.8E-2</v>
      </c>
      <c r="L739">
        <v>7</v>
      </c>
      <c r="M739" t="s">
        <v>1471</v>
      </c>
      <c r="N739">
        <v>1</v>
      </c>
    </row>
    <row r="740" spans="1:14" x14ac:dyDescent="0.35">
      <c r="A740">
        <v>26</v>
      </c>
      <c r="B740" t="s">
        <v>1472</v>
      </c>
      <c r="C740">
        <v>26</v>
      </c>
      <c r="D740">
        <v>6</v>
      </c>
      <c r="E740" t="s">
        <v>14</v>
      </c>
      <c r="F740">
        <v>1.4</v>
      </c>
      <c r="G740">
        <v>587</v>
      </c>
      <c r="H740">
        <v>20</v>
      </c>
      <c r="I740">
        <v>600</v>
      </c>
      <c r="J740">
        <v>2.17</v>
      </c>
      <c r="K740">
        <v>7.8E-2</v>
      </c>
      <c r="L740">
        <v>7</v>
      </c>
      <c r="M740" t="s">
        <v>1473</v>
      </c>
      <c r="N740">
        <v>1</v>
      </c>
    </row>
    <row r="741" spans="1:14" x14ac:dyDescent="0.35">
      <c r="A741">
        <v>25</v>
      </c>
      <c r="B741" t="s">
        <v>1474</v>
      </c>
      <c r="C741">
        <v>25</v>
      </c>
      <c r="D741">
        <v>4</v>
      </c>
      <c r="E741" t="s">
        <v>28</v>
      </c>
      <c r="F741">
        <v>2.2999999999999998</v>
      </c>
      <c r="G741">
        <v>588</v>
      </c>
      <c r="H741">
        <v>20</v>
      </c>
      <c r="I741">
        <v>600</v>
      </c>
      <c r="J741">
        <v>2</v>
      </c>
      <c r="K741">
        <v>7.9000000000000001E-2</v>
      </c>
      <c r="L741">
        <v>7</v>
      </c>
      <c r="M741" t="s">
        <v>1475</v>
      </c>
      <c r="N741">
        <v>1</v>
      </c>
    </row>
    <row r="742" spans="1:14" x14ac:dyDescent="0.35">
      <c r="A742">
        <v>24</v>
      </c>
      <c r="B742" t="s">
        <v>1476</v>
      </c>
      <c r="C742">
        <v>24</v>
      </c>
      <c r="D742">
        <v>8</v>
      </c>
      <c r="E742" t="s">
        <v>38</v>
      </c>
      <c r="F742">
        <v>2.5</v>
      </c>
      <c r="G742">
        <v>588</v>
      </c>
      <c r="H742">
        <v>20</v>
      </c>
      <c r="I742">
        <v>600</v>
      </c>
      <c r="J742">
        <v>2</v>
      </c>
      <c r="K742">
        <v>7.9000000000000001E-2</v>
      </c>
      <c r="L742">
        <v>7</v>
      </c>
      <c r="M742" t="s">
        <v>1477</v>
      </c>
      <c r="N742">
        <v>1</v>
      </c>
    </row>
    <row r="743" spans="1:14" x14ac:dyDescent="0.35">
      <c r="A743">
        <v>23</v>
      </c>
      <c r="B743" t="s">
        <v>1478</v>
      </c>
      <c r="C743" s="3">
        <v>23</v>
      </c>
      <c r="D743">
        <v>12</v>
      </c>
      <c r="E743" t="s">
        <v>59</v>
      </c>
      <c r="F743">
        <v>0</v>
      </c>
      <c r="G743">
        <v>588</v>
      </c>
      <c r="H743">
        <v>20</v>
      </c>
      <c r="I743">
        <v>600</v>
      </c>
      <c r="J743">
        <v>2</v>
      </c>
      <c r="K743">
        <v>7.9000000000000001E-2</v>
      </c>
      <c r="L743">
        <v>7</v>
      </c>
      <c r="M743" t="s">
        <v>1479</v>
      </c>
      <c r="N743">
        <v>0</v>
      </c>
    </row>
    <row r="744" spans="1:14" x14ac:dyDescent="0.35">
      <c r="A744">
        <v>22</v>
      </c>
      <c r="B744" t="s">
        <v>1480</v>
      </c>
      <c r="C744">
        <v>22</v>
      </c>
      <c r="D744">
        <v>2</v>
      </c>
      <c r="E744" t="s">
        <v>74</v>
      </c>
      <c r="F744">
        <v>1.4</v>
      </c>
      <c r="G744">
        <v>586</v>
      </c>
      <c r="H744">
        <v>20</v>
      </c>
      <c r="I744">
        <v>600</v>
      </c>
      <c r="J744">
        <v>2.33</v>
      </c>
      <c r="K744">
        <v>7.8E-2</v>
      </c>
      <c r="L744">
        <v>7.1</v>
      </c>
      <c r="M744" t="s">
        <v>1481</v>
      </c>
      <c r="N744">
        <v>1</v>
      </c>
    </row>
    <row r="745" spans="1:14" x14ac:dyDescent="0.35">
      <c r="A745">
        <v>21</v>
      </c>
      <c r="B745" t="s">
        <v>1482</v>
      </c>
      <c r="C745">
        <v>21</v>
      </c>
      <c r="D745">
        <v>9</v>
      </c>
      <c r="E745" t="s">
        <v>44</v>
      </c>
      <c r="F745">
        <v>0.9</v>
      </c>
      <c r="G745">
        <v>586</v>
      </c>
      <c r="H745">
        <v>20</v>
      </c>
      <c r="I745">
        <v>600</v>
      </c>
      <c r="J745">
        <v>2.33</v>
      </c>
      <c r="K745">
        <v>7.9000000000000001E-2</v>
      </c>
      <c r="L745">
        <v>7</v>
      </c>
      <c r="M745" t="s">
        <v>1483</v>
      </c>
      <c r="N745">
        <v>1</v>
      </c>
    </row>
    <row r="746" spans="1:14" x14ac:dyDescent="0.35">
      <c r="A746">
        <v>20</v>
      </c>
      <c r="B746" t="s">
        <v>1484</v>
      </c>
      <c r="C746">
        <v>20</v>
      </c>
      <c r="D746">
        <v>4</v>
      </c>
      <c r="E746" t="s">
        <v>28</v>
      </c>
      <c r="F746">
        <v>2.4</v>
      </c>
      <c r="G746">
        <v>586</v>
      </c>
      <c r="H746">
        <v>20</v>
      </c>
      <c r="I746">
        <v>600</v>
      </c>
      <c r="J746">
        <v>2.33</v>
      </c>
      <c r="K746">
        <v>7.8E-2</v>
      </c>
      <c r="L746">
        <v>7</v>
      </c>
      <c r="M746" t="s">
        <v>1485</v>
      </c>
      <c r="N746">
        <v>1</v>
      </c>
    </row>
    <row r="747" spans="1:14" x14ac:dyDescent="0.35">
      <c r="A747">
        <v>19</v>
      </c>
      <c r="B747" t="s">
        <v>1486</v>
      </c>
      <c r="C747">
        <v>19</v>
      </c>
      <c r="D747">
        <v>1</v>
      </c>
      <c r="E747" t="s">
        <v>41</v>
      </c>
      <c r="F747">
        <v>3</v>
      </c>
      <c r="G747">
        <v>586</v>
      </c>
      <c r="H747">
        <v>20</v>
      </c>
      <c r="I747">
        <v>600</v>
      </c>
      <c r="J747">
        <v>2.33</v>
      </c>
      <c r="K747">
        <v>7.8E-2</v>
      </c>
      <c r="L747">
        <v>7</v>
      </c>
      <c r="M747" t="s">
        <v>1487</v>
      </c>
      <c r="N747">
        <v>1</v>
      </c>
    </row>
    <row r="748" spans="1:14" x14ac:dyDescent="0.35">
      <c r="A748">
        <v>18</v>
      </c>
      <c r="B748" t="s">
        <v>1488</v>
      </c>
      <c r="C748">
        <v>18</v>
      </c>
      <c r="D748">
        <v>7</v>
      </c>
      <c r="E748" t="s">
        <v>17</v>
      </c>
      <c r="F748">
        <v>2.7</v>
      </c>
      <c r="G748">
        <v>589</v>
      </c>
      <c r="H748">
        <v>20</v>
      </c>
      <c r="I748">
        <v>600</v>
      </c>
      <c r="J748">
        <v>1.83</v>
      </c>
      <c r="K748">
        <v>7.9000000000000001E-2</v>
      </c>
      <c r="L748">
        <v>7.1</v>
      </c>
      <c r="M748" t="s">
        <v>1489</v>
      </c>
      <c r="N748">
        <v>1</v>
      </c>
    </row>
    <row r="749" spans="1:14" x14ac:dyDescent="0.35">
      <c r="A749">
        <v>17</v>
      </c>
      <c r="B749" t="s">
        <v>1490</v>
      </c>
      <c r="C749">
        <v>17</v>
      </c>
      <c r="D749">
        <v>3</v>
      </c>
      <c r="E749" t="s">
        <v>20</v>
      </c>
      <c r="F749">
        <v>1.1000000000000001</v>
      </c>
      <c r="G749">
        <v>586</v>
      </c>
      <c r="H749">
        <v>20</v>
      </c>
      <c r="I749">
        <v>600</v>
      </c>
      <c r="J749">
        <v>2.33</v>
      </c>
      <c r="K749">
        <v>7.9000000000000001E-2</v>
      </c>
      <c r="L749">
        <v>7.1</v>
      </c>
      <c r="M749" t="s">
        <v>1491</v>
      </c>
      <c r="N749">
        <v>1</v>
      </c>
    </row>
    <row r="750" spans="1:14" x14ac:dyDescent="0.35">
      <c r="A750">
        <v>16</v>
      </c>
      <c r="B750" t="s">
        <v>1492</v>
      </c>
      <c r="C750">
        <v>16</v>
      </c>
      <c r="D750">
        <v>11</v>
      </c>
      <c r="E750" t="s">
        <v>23</v>
      </c>
      <c r="F750">
        <v>20.100000000000001</v>
      </c>
      <c r="G750">
        <v>587</v>
      </c>
      <c r="H750">
        <v>20</v>
      </c>
      <c r="I750">
        <v>600</v>
      </c>
      <c r="J750">
        <v>2.17</v>
      </c>
      <c r="K750">
        <v>7.8E-2</v>
      </c>
      <c r="L750">
        <v>7</v>
      </c>
      <c r="M750" t="s">
        <v>1493</v>
      </c>
      <c r="N750">
        <v>1</v>
      </c>
    </row>
    <row r="751" spans="1:14" x14ac:dyDescent="0.35">
      <c r="A751">
        <v>15</v>
      </c>
      <c r="B751" t="s">
        <v>1494</v>
      </c>
      <c r="C751">
        <v>15</v>
      </c>
      <c r="D751">
        <v>11</v>
      </c>
      <c r="E751" t="s">
        <v>23</v>
      </c>
      <c r="F751">
        <v>16.399999999999999</v>
      </c>
      <c r="G751">
        <v>587</v>
      </c>
      <c r="H751">
        <v>20</v>
      </c>
      <c r="I751">
        <v>600</v>
      </c>
      <c r="J751">
        <v>2.17</v>
      </c>
      <c r="K751">
        <v>7.9000000000000001E-2</v>
      </c>
      <c r="L751">
        <v>7</v>
      </c>
      <c r="M751" t="s">
        <v>1495</v>
      </c>
      <c r="N751">
        <v>1</v>
      </c>
    </row>
    <row r="752" spans="1:14" x14ac:dyDescent="0.35">
      <c r="A752">
        <v>14</v>
      </c>
      <c r="B752" t="s">
        <v>1496</v>
      </c>
      <c r="C752">
        <v>14</v>
      </c>
      <c r="D752">
        <v>11</v>
      </c>
      <c r="E752" t="s">
        <v>23</v>
      </c>
      <c r="F752">
        <v>22.2</v>
      </c>
      <c r="G752">
        <v>587</v>
      </c>
      <c r="H752">
        <v>20</v>
      </c>
      <c r="I752">
        <v>600</v>
      </c>
      <c r="J752">
        <v>2.17</v>
      </c>
      <c r="K752">
        <v>7.8E-2</v>
      </c>
      <c r="L752">
        <v>7</v>
      </c>
      <c r="M752" t="s">
        <v>1497</v>
      </c>
      <c r="N752">
        <v>1</v>
      </c>
    </row>
    <row r="753" spans="1:14" x14ac:dyDescent="0.35">
      <c r="A753">
        <v>13</v>
      </c>
      <c r="B753" t="s">
        <v>1498</v>
      </c>
      <c r="C753">
        <v>13</v>
      </c>
      <c r="D753">
        <v>11</v>
      </c>
      <c r="E753" t="s">
        <v>23</v>
      </c>
      <c r="F753">
        <v>15.6</v>
      </c>
      <c r="G753">
        <v>586</v>
      </c>
      <c r="H753">
        <v>20</v>
      </c>
      <c r="I753">
        <v>600</v>
      </c>
      <c r="J753">
        <v>2.33</v>
      </c>
      <c r="K753">
        <v>7.8E-2</v>
      </c>
      <c r="L753">
        <v>7.1</v>
      </c>
      <c r="M753" t="s">
        <v>1499</v>
      </c>
      <c r="N753">
        <v>1</v>
      </c>
    </row>
    <row r="754" spans="1:14" x14ac:dyDescent="0.35">
      <c r="A754">
        <v>12</v>
      </c>
      <c r="B754" t="s">
        <v>1500</v>
      </c>
      <c r="C754">
        <v>12</v>
      </c>
      <c r="D754">
        <v>6</v>
      </c>
      <c r="E754" t="s">
        <v>14</v>
      </c>
      <c r="F754">
        <v>1.4</v>
      </c>
      <c r="G754">
        <v>586</v>
      </c>
      <c r="H754">
        <v>20</v>
      </c>
      <c r="I754">
        <v>600</v>
      </c>
      <c r="J754">
        <v>2.33</v>
      </c>
      <c r="K754">
        <v>7.9000000000000001E-2</v>
      </c>
      <c r="L754">
        <v>7.1</v>
      </c>
      <c r="M754" t="s">
        <v>1501</v>
      </c>
      <c r="N754">
        <v>1</v>
      </c>
    </row>
    <row r="755" spans="1:14" x14ac:dyDescent="0.35">
      <c r="A755">
        <v>11</v>
      </c>
      <c r="B755" t="s">
        <v>1502</v>
      </c>
      <c r="C755">
        <v>11</v>
      </c>
      <c r="D755">
        <v>2</v>
      </c>
      <c r="E755" t="s">
        <v>74</v>
      </c>
      <c r="F755">
        <v>1.4</v>
      </c>
      <c r="G755">
        <v>589</v>
      </c>
      <c r="H755">
        <v>20</v>
      </c>
      <c r="I755">
        <v>600</v>
      </c>
      <c r="J755">
        <v>1.83</v>
      </c>
      <c r="K755">
        <v>7.8E-2</v>
      </c>
      <c r="L755">
        <v>7.1</v>
      </c>
      <c r="M755" t="s">
        <v>1503</v>
      </c>
      <c r="N755">
        <v>1</v>
      </c>
    </row>
    <row r="756" spans="1:14" x14ac:dyDescent="0.35">
      <c r="A756">
        <v>10</v>
      </c>
      <c r="B756" t="s">
        <v>1504</v>
      </c>
      <c r="C756">
        <v>10</v>
      </c>
      <c r="D756">
        <v>8</v>
      </c>
      <c r="E756" t="s">
        <v>38</v>
      </c>
      <c r="F756">
        <v>2.4</v>
      </c>
      <c r="G756">
        <v>587</v>
      </c>
      <c r="H756">
        <v>20</v>
      </c>
      <c r="I756">
        <v>600</v>
      </c>
      <c r="J756">
        <v>2.17</v>
      </c>
      <c r="K756">
        <v>7.9000000000000001E-2</v>
      </c>
      <c r="L756">
        <v>7.1</v>
      </c>
      <c r="M756" t="s">
        <v>1505</v>
      </c>
      <c r="N756">
        <v>1</v>
      </c>
    </row>
    <row r="757" spans="1:14" x14ac:dyDescent="0.35">
      <c r="A757">
        <v>9</v>
      </c>
      <c r="B757" t="s">
        <v>1506</v>
      </c>
      <c r="C757">
        <v>9</v>
      </c>
      <c r="D757">
        <v>11</v>
      </c>
      <c r="E757" t="s">
        <v>23</v>
      </c>
      <c r="F757">
        <v>9.4</v>
      </c>
      <c r="G757">
        <v>586</v>
      </c>
      <c r="H757">
        <v>20</v>
      </c>
      <c r="I757">
        <v>600</v>
      </c>
      <c r="J757">
        <v>2.33</v>
      </c>
      <c r="K757">
        <v>7.8E-2</v>
      </c>
      <c r="L757">
        <v>7</v>
      </c>
      <c r="M757" t="s">
        <v>1507</v>
      </c>
      <c r="N757">
        <v>1</v>
      </c>
    </row>
    <row r="758" spans="1:14" x14ac:dyDescent="0.35">
      <c r="A758">
        <v>8</v>
      </c>
      <c r="B758" t="s">
        <v>1508</v>
      </c>
      <c r="C758">
        <v>8</v>
      </c>
      <c r="D758">
        <v>11</v>
      </c>
      <c r="E758" t="s">
        <v>23</v>
      </c>
      <c r="F758">
        <v>17.899999999999999</v>
      </c>
      <c r="G758">
        <v>586</v>
      </c>
      <c r="H758">
        <v>20</v>
      </c>
      <c r="I758">
        <v>600</v>
      </c>
      <c r="J758">
        <v>2.33</v>
      </c>
      <c r="K758">
        <v>0.08</v>
      </c>
      <c r="L758">
        <v>7.1</v>
      </c>
      <c r="M758" t="s">
        <v>1509</v>
      </c>
      <c r="N758">
        <v>1</v>
      </c>
    </row>
    <row r="759" spans="1:14" x14ac:dyDescent="0.35">
      <c r="A759">
        <v>7</v>
      </c>
      <c r="B759" t="s">
        <v>1510</v>
      </c>
      <c r="C759">
        <v>7</v>
      </c>
      <c r="D759">
        <v>1</v>
      </c>
      <c r="E759" t="s">
        <v>41</v>
      </c>
      <c r="F759">
        <v>3</v>
      </c>
      <c r="G759">
        <v>587</v>
      </c>
      <c r="H759">
        <v>20</v>
      </c>
      <c r="I759">
        <v>600</v>
      </c>
      <c r="J759">
        <v>2.17</v>
      </c>
      <c r="K759">
        <v>7.9000000000000001E-2</v>
      </c>
      <c r="L759">
        <v>7.1</v>
      </c>
      <c r="M759" t="s">
        <v>1511</v>
      </c>
      <c r="N759">
        <v>1</v>
      </c>
    </row>
    <row r="760" spans="1:14" x14ac:dyDescent="0.35">
      <c r="A760">
        <v>6</v>
      </c>
      <c r="B760" t="s">
        <v>1512</v>
      </c>
      <c r="C760" s="3">
        <v>6</v>
      </c>
      <c r="D760">
        <v>3</v>
      </c>
      <c r="E760" t="s">
        <v>20</v>
      </c>
      <c r="F760">
        <v>3.7</v>
      </c>
      <c r="G760">
        <v>587</v>
      </c>
      <c r="H760">
        <v>20</v>
      </c>
      <c r="I760">
        <v>600</v>
      </c>
      <c r="J760">
        <v>2.17</v>
      </c>
      <c r="K760">
        <v>7.8E-2</v>
      </c>
      <c r="L760">
        <v>7.1</v>
      </c>
      <c r="M760" t="s">
        <v>1513</v>
      </c>
      <c r="N760">
        <v>0</v>
      </c>
    </row>
    <row r="761" spans="1:14" x14ac:dyDescent="0.35">
      <c r="A761">
        <v>5</v>
      </c>
      <c r="B761" t="s">
        <v>1514</v>
      </c>
      <c r="C761">
        <v>5</v>
      </c>
      <c r="D761">
        <v>5</v>
      </c>
      <c r="E761" t="s">
        <v>35</v>
      </c>
      <c r="F761">
        <v>1.1000000000000001</v>
      </c>
      <c r="G761">
        <v>587</v>
      </c>
      <c r="H761">
        <v>20</v>
      </c>
      <c r="I761">
        <v>600</v>
      </c>
      <c r="J761">
        <v>2.17</v>
      </c>
      <c r="K761">
        <v>7.9000000000000001E-2</v>
      </c>
      <c r="L761">
        <v>7.1</v>
      </c>
      <c r="M761" t="s">
        <v>1515</v>
      </c>
      <c r="N761">
        <v>1</v>
      </c>
    </row>
    <row r="762" spans="1:14" x14ac:dyDescent="0.35">
      <c r="A762">
        <v>4</v>
      </c>
      <c r="B762" t="s">
        <v>1516</v>
      </c>
      <c r="C762">
        <v>4</v>
      </c>
      <c r="D762">
        <v>7</v>
      </c>
      <c r="E762" t="s">
        <v>17</v>
      </c>
      <c r="F762">
        <v>2.9</v>
      </c>
      <c r="G762">
        <v>586</v>
      </c>
      <c r="H762">
        <v>20</v>
      </c>
      <c r="I762">
        <v>600</v>
      </c>
      <c r="J762">
        <v>2.33</v>
      </c>
      <c r="K762">
        <v>7.9000000000000001E-2</v>
      </c>
      <c r="L762">
        <v>7.1</v>
      </c>
      <c r="M762" t="s">
        <v>1517</v>
      </c>
      <c r="N762">
        <v>1</v>
      </c>
    </row>
    <row r="763" spans="1:14" x14ac:dyDescent="0.35">
      <c r="A763">
        <v>3</v>
      </c>
      <c r="B763" t="s">
        <v>1518</v>
      </c>
      <c r="C763">
        <v>3</v>
      </c>
      <c r="D763">
        <v>11</v>
      </c>
      <c r="E763" t="s">
        <v>23</v>
      </c>
      <c r="F763">
        <v>32.4</v>
      </c>
      <c r="G763">
        <v>585</v>
      </c>
      <c r="H763">
        <v>20</v>
      </c>
      <c r="I763">
        <v>600</v>
      </c>
      <c r="J763">
        <v>2.5</v>
      </c>
      <c r="K763">
        <v>7.9000000000000001E-2</v>
      </c>
      <c r="L763">
        <v>7</v>
      </c>
      <c r="M763" t="s">
        <v>1519</v>
      </c>
      <c r="N763">
        <v>1</v>
      </c>
    </row>
    <row r="764" spans="1:14" x14ac:dyDescent="0.35">
      <c r="A764">
        <v>2</v>
      </c>
      <c r="B764" t="s">
        <v>1520</v>
      </c>
      <c r="C764">
        <v>2</v>
      </c>
      <c r="D764">
        <v>1</v>
      </c>
      <c r="E764" t="s">
        <v>41</v>
      </c>
      <c r="F764">
        <v>3</v>
      </c>
      <c r="G764">
        <v>587</v>
      </c>
      <c r="H764">
        <v>20</v>
      </c>
      <c r="I764">
        <v>600</v>
      </c>
      <c r="J764">
        <v>2.17</v>
      </c>
      <c r="K764">
        <v>7.9000000000000001E-2</v>
      </c>
      <c r="L764">
        <v>7.1</v>
      </c>
      <c r="M764" t="s">
        <v>1521</v>
      </c>
      <c r="N764">
        <v>1</v>
      </c>
    </row>
    <row r="765" spans="1:14" x14ac:dyDescent="0.35">
      <c r="A765">
        <v>1</v>
      </c>
      <c r="B765" t="s">
        <v>1522</v>
      </c>
      <c r="C765">
        <v>1</v>
      </c>
      <c r="D765">
        <v>9</v>
      </c>
      <c r="E765" t="s">
        <v>44</v>
      </c>
      <c r="F765">
        <v>0.9</v>
      </c>
      <c r="G765">
        <v>585</v>
      </c>
      <c r="H765">
        <v>20</v>
      </c>
      <c r="I765">
        <v>600</v>
      </c>
      <c r="J765">
        <v>2.5</v>
      </c>
      <c r="K765">
        <v>7.9000000000000001E-2</v>
      </c>
      <c r="L765">
        <v>7.1</v>
      </c>
      <c r="M765" t="s">
        <v>1523</v>
      </c>
      <c r="N765">
        <v>1</v>
      </c>
    </row>
    <row r="766" spans="1:14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x14ac:dyDescent="0.35">
      <c r="B767" t="s">
        <v>1580</v>
      </c>
      <c r="C767" t="s">
        <v>1581</v>
      </c>
      <c r="D767" t="s">
        <v>1582</v>
      </c>
      <c r="E767" t="s">
        <v>1583</v>
      </c>
      <c r="F767" t="s">
        <v>1584</v>
      </c>
      <c r="G767" s="2"/>
      <c r="I767" t="s">
        <v>1591</v>
      </c>
      <c r="J767" t="s">
        <v>1592</v>
      </c>
      <c r="K767" t="s">
        <v>1594</v>
      </c>
    </row>
    <row r="768" spans="1:14" x14ac:dyDescent="0.35">
      <c r="A768">
        <v>1</v>
      </c>
      <c r="B768" cm="1">
        <f t="array" ref="B768">INDEX($J$716:$J$765, 817 - ROW() + 1)</f>
        <v>2.5</v>
      </c>
      <c r="C768" cm="1">
        <f t="array" ref="C768">INDEX($J$665:$J$714, 817 - ROW() + 1)</f>
        <v>1.87</v>
      </c>
      <c r="D768" cm="1">
        <f t="array" ref="D768">INDEX($J$614:$J$663, 817 - ROW() + 1)</f>
        <v>1.1100000000000001</v>
      </c>
      <c r="E768" cm="1">
        <f t="array" ref="E768">INDEX($J$563:$J$612, 817 - ROW() + 1)</f>
        <v>1.33</v>
      </c>
      <c r="F768" cm="1">
        <f t="array" ref="F768">INDEX($J$512:$J$561, 817 - ROW() + 1)</f>
        <v>1.42</v>
      </c>
      <c r="G768" s="2"/>
      <c r="H768">
        <v>20</v>
      </c>
      <c r="I768" s="13">
        <f>AVERAGE(N716:N765,N461:N510,N206:N255)</f>
        <v>0.96666666666666667</v>
      </c>
      <c r="J768" s="13">
        <f t="shared" ref="J768:J772" si="0">100%-I768</f>
        <v>3.3333333333333326E-2</v>
      </c>
      <c r="K768" s="14">
        <f>AVERAGE(K206:K255,K461:K510,K716:K765)</f>
        <v>7.945333333333332E-2</v>
      </c>
    </row>
    <row r="769" spans="1:11" x14ac:dyDescent="0.35">
      <c r="A769">
        <v>2</v>
      </c>
      <c r="B769" cm="1">
        <f t="array" ref="B769">INDEX($J$716:$J$765, 817 - ROW() + 1)</f>
        <v>2.17</v>
      </c>
      <c r="C769" cm="1">
        <f t="array" ref="C769">INDEX($J$665:$J$714, 817 - ROW() + 1)</f>
        <v>1.73</v>
      </c>
      <c r="D769" cm="1">
        <f t="array" ref="D769">INDEX($J$614:$J$663, 817 - ROW() + 1)</f>
        <v>1</v>
      </c>
      <c r="E769" cm="1">
        <f t="array" ref="E769">INDEX($J$563:$J$612, 817 - ROW() + 1)</f>
        <v>1.33</v>
      </c>
      <c r="F769" cm="1">
        <f t="array" ref="F769">INDEX($J$512:$J$561, 817 - ROW() + 1)</f>
        <v>1.17</v>
      </c>
      <c r="G769" s="2"/>
      <c r="H769">
        <v>25</v>
      </c>
      <c r="I769" s="13">
        <f>AVERAGE(N155:N204,N410:N459,N665:N714)</f>
        <v>0.97333333333333338</v>
      </c>
      <c r="J769" s="13">
        <f t="shared" si="0"/>
        <v>2.6666666666666616E-2</v>
      </c>
      <c r="K769" s="14">
        <f>AVERAGE(K155:K204,K410:K459,K665:K714)</f>
        <v>9.9586666666666879E-2</v>
      </c>
    </row>
    <row r="770" spans="1:11" x14ac:dyDescent="0.35">
      <c r="A770">
        <v>3</v>
      </c>
      <c r="B770" cm="1">
        <f t="array" ref="B770">INDEX($J$716:$J$765, 817 - ROW() + 1)</f>
        <v>2.5</v>
      </c>
      <c r="C770" cm="1">
        <f t="array" ref="C770">INDEX($J$665:$J$714, 817 - ROW() + 1)</f>
        <v>1.73</v>
      </c>
      <c r="D770" cm="1">
        <f t="array" ref="D770">INDEX($J$614:$J$663, 817 - ROW() + 1)</f>
        <v>1.22</v>
      </c>
      <c r="E770" cm="1">
        <f t="array" ref="E770">INDEX($J$563:$J$612, 817 - ROW() + 1)</f>
        <v>1.05</v>
      </c>
      <c r="F770" cm="1">
        <f t="array" ref="F770">INDEX($J$512:$J$561, 817 - ROW() + 1)</f>
        <v>1.25</v>
      </c>
      <c r="G770" s="2"/>
      <c r="H770">
        <v>30</v>
      </c>
      <c r="I770" s="13">
        <f>AVERAGE(N104:N153,N359:N408,N614:N663)</f>
        <v>0.99333333333333329</v>
      </c>
      <c r="J770" s="13">
        <f t="shared" si="0"/>
        <v>6.6666666666667096E-3</v>
      </c>
      <c r="K770" s="14">
        <f>AVERAGE(K104:K153,K359:K408,K614:K663)</f>
        <v>0.1200866666666667</v>
      </c>
    </row>
    <row r="771" spans="1:11" x14ac:dyDescent="0.35">
      <c r="A771">
        <v>4</v>
      </c>
      <c r="B771" cm="1">
        <f t="array" ref="B771">INDEX($J$716:$J$765, 817 - ROW() + 1)</f>
        <v>2.33</v>
      </c>
      <c r="C771" cm="1">
        <f t="array" ref="C771">INDEX($J$665:$J$714, 817 - ROW() + 1)</f>
        <v>1.6</v>
      </c>
      <c r="D771" cm="1">
        <f t="array" ref="D771">INDEX($J$614:$J$663, 817 - ROW() + 1)</f>
        <v>1.33</v>
      </c>
      <c r="E771" cm="1">
        <f t="array" ref="E771">INDEX($J$563:$J$612, 817 - ROW() + 1)</f>
        <v>0.95</v>
      </c>
      <c r="F771" cm="1">
        <f t="array" ref="F771">INDEX($J$512:$J$561, 817 - ROW() + 1)</f>
        <v>1.17</v>
      </c>
      <c r="G771" s="2"/>
      <c r="H771">
        <v>35</v>
      </c>
      <c r="I771" s="13">
        <f>AVERAGE(N563:N612,N308:N357,N53:N102)</f>
        <v>0.98</v>
      </c>
      <c r="J771" s="13">
        <f t="shared" si="0"/>
        <v>2.0000000000000018E-2</v>
      </c>
      <c r="K771" s="14">
        <f>AVERAGE(K53:K102,K308:K357,K563:K612)</f>
        <v>0.14049333333333333</v>
      </c>
    </row>
    <row r="772" spans="1:11" x14ac:dyDescent="0.35">
      <c r="A772">
        <v>5</v>
      </c>
      <c r="B772" cm="1">
        <f t="array" ref="B772">INDEX($J$716:$J$765, 817 - ROW() + 1)</f>
        <v>2.17</v>
      </c>
      <c r="C772" cm="1">
        <f t="array" ref="C772">INDEX($J$665:$J$714, 817 - ROW() + 1)</f>
        <v>2</v>
      </c>
      <c r="D772" cm="1">
        <f t="array" ref="D772">INDEX($J$614:$J$663, 817 - ROW() + 1)</f>
        <v>1.22</v>
      </c>
      <c r="E772" cm="1">
        <f t="array" ref="E772">INDEX($J$563:$J$612, 817 - ROW() + 1)</f>
        <v>1.1399999999999999</v>
      </c>
      <c r="F772" cm="1">
        <f t="array" ref="F772">INDEX($J$512:$J$561, 817 - ROW() + 1)</f>
        <v>1.25</v>
      </c>
      <c r="G772" s="2"/>
      <c r="H772">
        <v>40</v>
      </c>
      <c r="I772" s="13">
        <f>AVERAGE(N2:N51,N257:N306,N512:N561)</f>
        <v>0.93333333333333335</v>
      </c>
      <c r="J772" s="13">
        <f t="shared" si="0"/>
        <v>6.6666666666666652E-2</v>
      </c>
      <c r="K772" s="14">
        <f>AVERAGE(K2:K51,K257:K306,K512:K561)</f>
        <v>0.1619000000000001</v>
      </c>
    </row>
    <row r="773" spans="1:11" x14ac:dyDescent="0.35">
      <c r="A773">
        <v>6</v>
      </c>
      <c r="B773" cm="1">
        <f t="array" ref="B773">INDEX($J$716:$J$765, 817 - ROW() + 1)</f>
        <v>2.17</v>
      </c>
      <c r="C773" cm="1">
        <f t="array" ref="C773">INDEX($J$665:$J$714, 817 - ROW() + 1)</f>
        <v>1.87</v>
      </c>
      <c r="D773" cm="1">
        <f t="array" ref="D773">INDEX($J$614:$J$663, 817 - ROW() + 1)</f>
        <v>1.22</v>
      </c>
      <c r="E773" cm="1">
        <f t="array" ref="E773">INDEX($J$563:$J$612, 817 - ROW() + 1)</f>
        <v>1.05</v>
      </c>
      <c r="F773" cm="1">
        <f t="array" ref="F773">INDEX($J$512:$J$561, 817 - ROW() + 1)</f>
        <v>0.92</v>
      </c>
      <c r="G773" s="2"/>
      <c r="H773" t="s">
        <v>1589</v>
      </c>
      <c r="I773" s="12">
        <f>AVERAGE(N2:N765)</f>
        <v>0.96933333333333338</v>
      </c>
      <c r="J773" s="12">
        <f>100%-I773</f>
        <v>3.066666666666662E-2</v>
      </c>
    </row>
    <row r="774" spans="1:11" x14ac:dyDescent="0.35">
      <c r="A774">
        <v>7</v>
      </c>
      <c r="B774" cm="1">
        <f t="array" ref="B774">INDEX($J$716:$J$765, 817 - ROW() + 1)</f>
        <v>2.17</v>
      </c>
      <c r="C774" cm="1">
        <f t="array" ref="C774">INDEX($J$665:$J$714, 817 - ROW() + 1)</f>
        <v>2</v>
      </c>
      <c r="D774" cm="1">
        <f t="array" ref="D774">INDEX($J$614:$J$663, 817 - ROW() + 1)</f>
        <v>1.22</v>
      </c>
      <c r="E774" cm="1">
        <f t="array" ref="E774">INDEX($J$563:$J$612, 817 - ROW() + 1)</f>
        <v>0.86</v>
      </c>
      <c r="F774" cm="1">
        <f t="array" ref="F774">INDEX($J$512:$J$561, 817 - ROW() + 1)</f>
        <v>1</v>
      </c>
      <c r="G774" s="2"/>
      <c r="I774" t="s">
        <v>1591</v>
      </c>
      <c r="J774" t="s">
        <v>1592</v>
      </c>
    </row>
    <row r="775" spans="1:11" x14ac:dyDescent="0.35">
      <c r="A775">
        <v>8</v>
      </c>
      <c r="B775" cm="1">
        <f t="array" ref="B775">INDEX($J$716:$J$765, 817 - ROW() + 1)</f>
        <v>2.33</v>
      </c>
      <c r="C775" cm="1">
        <f t="array" ref="C775">INDEX($J$665:$J$714, 817 - ROW() + 1)</f>
        <v>1.73</v>
      </c>
      <c r="D775" cm="1">
        <f t="array" ref="D775">INDEX($J$614:$J$663, 817 - ROW() + 1)</f>
        <v>1</v>
      </c>
      <c r="E775" cm="1">
        <f t="array" ref="E775">INDEX($J$563:$J$612, 817 - ROW() + 1)</f>
        <v>0.76</v>
      </c>
      <c r="F775" cm="1">
        <f t="array" ref="F775">INDEX($J$512:$J$561, 817 - ROW() + 1)</f>
        <v>0.83</v>
      </c>
      <c r="G775" s="2"/>
      <c r="I775" s="13">
        <f>AVERAGE(N4:N767)</f>
        <v>0.96925133689839571</v>
      </c>
      <c r="J775" s="13">
        <f>100%-I775</f>
        <v>3.074866310160429E-2</v>
      </c>
    </row>
    <row r="776" spans="1:11" x14ac:dyDescent="0.35">
      <c r="A776">
        <v>9</v>
      </c>
      <c r="B776" cm="1">
        <f t="array" ref="B776">INDEX($J$716:$J$765, 817 - ROW() + 1)</f>
        <v>2.33</v>
      </c>
      <c r="C776" cm="1">
        <f t="array" ref="C776">INDEX($J$665:$J$714, 817 - ROW() + 1)</f>
        <v>1.87</v>
      </c>
      <c r="D776" cm="1">
        <f t="array" ref="D776">INDEX($J$614:$J$663, 817 - ROW() + 1)</f>
        <v>1.22</v>
      </c>
      <c r="E776" cm="1">
        <f t="array" ref="E776">INDEX($J$563:$J$612, 817 - ROW() + 1)</f>
        <v>1.05</v>
      </c>
      <c r="F776" cm="1">
        <f t="array" ref="F776">INDEX($J$512:$J$561, 817 - ROW() + 1)</f>
        <v>1</v>
      </c>
      <c r="G776" s="2"/>
      <c r="I776">
        <f>COUNTIF(N2:N765, 1)</f>
        <v>727</v>
      </c>
      <c r="J776">
        <f>COUNTIF(N2:N765, 0)</f>
        <v>23</v>
      </c>
    </row>
    <row r="777" spans="1:11" x14ac:dyDescent="0.35">
      <c r="A777">
        <v>10</v>
      </c>
      <c r="B777" cm="1">
        <f t="array" ref="B777">INDEX($J$716:$J$765, 817 - ROW() + 1)</f>
        <v>2.17</v>
      </c>
      <c r="C777" cm="1">
        <f t="array" ref="C777">INDEX($J$665:$J$714, 817 - ROW() + 1)</f>
        <v>2</v>
      </c>
      <c r="D777" cm="1">
        <f t="array" ref="D777">INDEX($J$614:$J$663, 817 - ROW() + 1)</f>
        <v>1.1100000000000001</v>
      </c>
      <c r="E777" cm="1">
        <f t="array" ref="E777">INDEX($J$563:$J$612, 817 - ROW() + 1)</f>
        <v>0.95</v>
      </c>
      <c r="F777" cm="1">
        <f t="array" ref="F777">INDEX($J$512:$J$561, 817 - ROW() + 1)</f>
        <v>1.17</v>
      </c>
      <c r="G777" s="2"/>
    </row>
    <row r="778" spans="1:11" x14ac:dyDescent="0.35">
      <c r="A778">
        <v>11</v>
      </c>
      <c r="B778" cm="1">
        <f t="array" ref="B778">INDEX($J$716:$J$765, 817 - ROW() + 1)</f>
        <v>1.83</v>
      </c>
      <c r="C778" cm="1">
        <f t="array" ref="C778">INDEX($J$665:$J$714, 817 - ROW() + 1)</f>
        <v>1.73</v>
      </c>
      <c r="D778" cm="1">
        <f t="array" ref="D778">INDEX($J$614:$J$663, 817 - ROW() + 1)</f>
        <v>1.22</v>
      </c>
      <c r="E778" cm="1">
        <f t="array" ref="E778">INDEX($J$563:$J$612, 817 - ROW() + 1)</f>
        <v>1.05</v>
      </c>
      <c r="F778" cm="1">
        <f t="array" ref="F778">INDEX($J$512:$J$561, 817 - ROW() + 1)</f>
        <v>1</v>
      </c>
      <c r="G778" s="2"/>
      <c r="H778">
        <v>1</v>
      </c>
    </row>
    <row r="779" spans="1:11" x14ac:dyDescent="0.35">
      <c r="A779">
        <v>12</v>
      </c>
      <c r="B779" cm="1">
        <f t="array" ref="B779">INDEX($J$716:$J$765, 817 - ROW() + 1)</f>
        <v>2.33</v>
      </c>
      <c r="C779" cm="1">
        <f t="array" ref="C779">INDEX($J$665:$J$714, 817 - ROW() + 1)</f>
        <v>2</v>
      </c>
      <c r="D779" cm="1">
        <f t="array" ref="D779">INDEX($J$614:$J$663, 817 - ROW() + 1)</f>
        <v>1.22</v>
      </c>
      <c r="E779" cm="1">
        <f t="array" ref="E779">INDEX($J$563:$J$612, 817 - ROW() + 1)</f>
        <v>0.86</v>
      </c>
      <c r="F779" cm="1">
        <f t="array" ref="F779">INDEX($J$512:$J$561, 817 - ROW() + 1)</f>
        <v>1</v>
      </c>
      <c r="G779" s="2"/>
      <c r="H779">
        <v>2</v>
      </c>
    </row>
    <row r="780" spans="1:11" x14ac:dyDescent="0.35">
      <c r="A780">
        <v>13</v>
      </c>
      <c r="B780" cm="1">
        <f t="array" ref="B780">INDEX($J$716:$J$765, 817 - ROW() + 1)</f>
        <v>2.33</v>
      </c>
      <c r="C780" cm="1">
        <f t="array" ref="C780">INDEX($J$665:$J$714, 817 - ROW() + 1)</f>
        <v>1.6</v>
      </c>
      <c r="D780" cm="1">
        <f t="array" ref="D780">INDEX($J$614:$J$663, 817 - ROW() + 1)</f>
        <v>0.89</v>
      </c>
      <c r="E780" cm="1">
        <f t="array" ref="E780">INDEX($J$563:$J$612, 817 - ROW() + 1)</f>
        <v>1.05</v>
      </c>
      <c r="F780" cm="1">
        <f t="array" ref="F780">INDEX($J$512:$J$561, 817 - ROW() + 1)</f>
        <v>1.08</v>
      </c>
      <c r="G780" s="2"/>
      <c r="H780">
        <v>3</v>
      </c>
    </row>
    <row r="781" spans="1:11" x14ac:dyDescent="0.35">
      <c r="A781">
        <v>14</v>
      </c>
      <c r="B781" cm="1">
        <f t="array" ref="B781">INDEX($J$716:$J$765, 817 - ROW() + 1)</f>
        <v>2.17</v>
      </c>
      <c r="C781" cm="1">
        <f t="array" ref="C781">INDEX($J$665:$J$714, 817 - ROW() + 1)</f>
        <v>1.73</v>
      </c>
      <c r="D781" cm="1">
        <f t="array" ref="D781">INDEX($J$614:$J$663, 817 - ROW() + 1)</f>
        <v>1</v>
      </c>
      <c r="E781" cm="1">
        <f t="array" ref="E781">INDEX($J$563:$J$612, 817 - ROW() + 1)</f>
        <v>0.86</v>
      </c>
      <c r="F781" cm="1">
        <f t="array" ref="F781">INDEX($J$512:$J$561, 817 - ROW() + 1)</f>
        <v>1</v>
      </c>
      <c r="G781" s="2"/>
      <c r="H781">
        <v>4</v>
      </c>
    </row>
    <row r="782" spans="1:11" x14ac:dyDescent="0.35">
      <c r="A782">
        <v>15</v>
      </c>
      <c r="B782" cm="1">
        <f t="array" ref="B782">INDEX($J$716:$J$765, 817 - ROW() + 1)</f>
        <v>2.17</v>
      </c>
      <c r="C782" cm="1">
        <f t="array" ref="C782">INDEX($J$665:$J$714, 817 - ROW() + 1)</f>
        <v>1.6</v>
      </c>
      <c r="D782" cm="1">
        <f t="array" ref="D782">INDEX($J$614:$J$663, 817 - ROW() + 1)</f>
        <v>1.1100000000000001</v>
      </c>
      <c r="E782" cm="1">
        <f t="array" ref="E782">INDEX($J$563:$J$612, 817 - ROW() + 1)</f>
        <v>0.86</v>
      </c>
      <c r="F782" cm="1">
        <f t="array" ref="F782">INDEX($J$512:$J$561, 817 - ROW() + 1)</f>
        <v>1.08</v>
      </c>
      <c r="G782" s="2"/>
      <c r="H782">
        <v>5</v>
      </c>
    </row>
    <row r="783" spans="1:11" x14ac:dyDescent="0.35">
      <c r="A783">
        <v>16</v>
      </c>
      <c r="B783" cm="1">
        <f t="array" ref="B783">INDEX($J$716:$J$765, 817 - ROW() + 1)</f>
        <v>2.17</v>
      </c>
      <c r="C783" cm="1">
        <f t="array" ref="C783">INDEX($J$665:$J$714, 817 - ROW() + 1)</f>
        <v>1.6</v>
      </c>
      <c r="D783" cm="1">
        <f t="array" ref="D783">INDEX($J$614:$J$663, 817 - ROW() + 1)</f>
        <v>1.1100000000000001</v>
      </c>
      <c r="E783" cm="1">
        <f t="array" ref="E783">INDEX($J$563:$J$612, 817 - ROW() + 1)</f>
        <v>1.24</v>
      </c>
      <c r="F783" cm="1">
        <f t="array" ref="F783">INDEX($J$512:$J$561, 817 - ROW() + 1)</f>
        <v>0.92</v>
      </c>
      <c r="G783" s="2"/>
      <c r="H783">
        <v>6</v>
      </c>
    </row>
    <row r="784" spans="1:11" x14ac:dyDescent="0.35">
      <c r="A784">
        <v>17</v>
      </c>
      <c r="B784" cm="1">
        <f t="array" ref="B784">INDEX($J$716:$J$765, 817 - ROW() + 1)</f>
        <v>2.33</v>
      </c>
      <c r="C784" cm="1">
        <f t="array" ref="C784">INDEX($J$665:$J$714, 817 - ROW() + 1)</f>
        <v>1.73</v>
      </c>
      <c r="D784" cm="1">
        <f t="array" ref="D784">INDEX($J$614:$J$663, 817 - ROW() + 1)</f>
        <v>1</v>
      </c>
      <c r="E784" cm="1">
        <f t="array" ref="E784">INDEX($J$563:$J$612, 817 - ROW() + 1)</f>
        <v>0.95</v>
      </c>
      <c r="F784" cm="1">
        <f t="array" ref="F784">INDEX($J$512:$J$561, 817 - ROW() + 1)</f>
        <v>1</v>
      </c>
      <c r="G784" s="2"/>
      <c r="H784">
        <v>7</v>
      </c>
    </row>
    <row r="785" spans="1:8" x14ac:dyDescent="0.35">
      <c r="A785">
        <v>18</v>
      </c>
      <c r="B785" cm="1">
        <f t="array" ref="B785">INDEX($J$716:$J$765, 817 - ROW() + 1)</f>
        <v>1.83</v>
      </c>
      <c r="C785" cm="1">
        <f t="array" ref="C785">INDEX($J$665:$J$714, 817 - ROW() + 1)</f>
        <v>1.6</v>
      </c>
      <c r="D785" cm="1">
        <f t="array" ref="D785">INDEX($J$614:$J$663, 817 - ROW() + 1)</f>
        <v>1</v>
      </c>
      <c r="E785" cm="1">
        <f t="array" ref="E785">INDEX($J$563:$J$612, 817 - ROW() + 1)</f>
        <v>0.86</v>
      </c>
      <c r="F785" cm="1">
        <f t="array" ref="F785">INDEX($J$512:$J$561, 817 - ROW() + 1)</f>
        <v>0.92</v>
      </c>
      <c r="G785" s="2"/>
      <c r="H785">
        <v>8</v>
      </c>
    </row>
    <row r="786" spans="1:8" x14ac:dyDescent="0.35">
      <c r="A786">
        <v>19</v>
      </c>
      <c r="B786" cm="1">
        <f t="array" ref="B786">INDEX($J$716:$J$765, 817 - ROW() + 1)</f>
        <v>2.33</v>
      </c>
      <c r="C786" cm="1">
        <f t="array" ref="C786">INDEX($J$665:$J$714, 817 - ROW() + 1)</f>
        <v>1.87</v>
      </c>
      <c r="D786" cm="1">
        <f t="array" ref="D786">INDEX($J$614:$J$663, 817 - ROW() + 1)</f>
        <v>1.22</v>
      </c>
      <c r="E786" cm="1">
        <f t="array" ref="E786">INDEX($J$563:$J$612, 817 - ROW() + 1)</f>
        <v>0.86</v>
      </c>
      <c r="F786" cm="1">
        <f t="array" ref="F786">INDEX($J$512:$J$561, 817 - ROW() + 1)</f>
        <v>1</v>
      </c>
      <c r="G786" s="2"/>
      <c r="H786">
        <v>9</v>
      </c>
    </row>
    <row r="787" spans="1:8" x14ac:dyDescent="0.35">
      <c r="A787">
        <v>20</v>
      </c>
      <c r="B787" cm="1">
        <f t="array" ref="B787">INDEX($J$716:$J$765, 817 - ROW() + 1)</f>
        <v>2.33</v>
      </c>
      <c r="C787" cm="1">
        <f t="array" ref="C787">INDEX($J$665:$J$714, 817 - ROW() + 1)</f>
        <v>1.6</v>
      </c>
      <c r="D787" cm="1">
        <f t="array" ref="D787">INDEX($J$614:$J$663, 817 - ROW() + 1)</f>
        <v>1</v>
      </c>
      <c r="E787" cm="1">
        <f t="array" ref="E787">INDEX($J$563:$J$612, 817 - ROW() + 1)</f>
        <v>1.1399999999999999</v>
      </c>
      <c r="F787" cm="1">
        <f t="array" ref="F787">INDEX($J$512:$J$561, 817 - ROW() + 1)</f>
        <v>0.75</v>
      </c>
      <c r="G787" s="2"/>
      <c r="H787">
        <v>10</v>
      </c>
    </row>
    <row r="788" spans="1:8" x14ac:dyDescent="0.35">
      <c r="A788">
        <v>21</v>
      </c>
      <c r="B788" cm="1">
        <f t="array" ref="B788">INDEX($J$716:$J$765, 817 - ROW() + 1)</f>
        <v>2.33</v>
      </c>
      <c r="C788" cm="1">
        <f t="array" ref="C788">INDEX($J$665:$J$714, 817 - ROW() + 1)</f>
        <v>1.73</v>
      </c>
      <c r="D788" cm="1">
        <f t="array" ref="D788">INDEX($J$614:$J$663, 817 - ROW() + 1)</f>
        <v>1.22</v>
      </c>
      <c r="E788" cm="1">
        <f t="array" ref="E788">INDEX($J$563:$J$612, 817 - ROW() + 1)</f>
        <v>0.86</v>
      </c>
      <c r="F788" cm="1">
        <f t="array" ref="F788">INDEX($J$512:$J$561, 817 - ROW() + 1)</f>
        <v>0.83</v>
      </c>
      <c r="G788" s="2"/>
      <c r="H788">
        <v>11</v>
      </c>
    </row>
    <row r="789" spans="1:8" x14ac:dyDescent="0.35">
      <c r="A789">
        <v>22</v>
      </c>
      <c r="B789" cm="1">
        <f t="array" ref="B789">INDEX($J$716:$J$765, 817 - ROW() + 1)</f>
        <v>2.33</v>
      </c>
      <c r="C789" cm="1">
        <f t="array" ref="C789">INDEX($J$665:$J$714, 817 - ROW() + 1)</f>
        <v>1.6</v>
      </c>
      <c r="D789" cm="1">
        <f t="array" ref="D789">INDEX($J$614:$J$663, 817 - ROW() + 1)</f>
        <v>1</v>
      </c>
      <c r="E789" cm="1">
        <f t="array" ref="E789">INDEX($J$563:$J$612, 817 - ROW() + 1)</f>
        <v>1.05</v>
      </c>
      <c r="F789" cm="1">
        <f t="array" ref="F789">INDEX($J$512:$J$561, 817 - ROW() + 1)</f>
        <v>1</v>
      </c>
      <c r="G789" s="2"/>
      <c r="H789">
        <v>12</v>
      </c>
    </row>
    <row r="790" spans="1:8" x14ac:dyDescent="0.35">
      <c r="A790">
        <v>23</v>
      </c>
      <c r="B790" cm="1">
        <f t="array" ref="B790">INDEX($J$716:$J$765, 817 - ROW() + 1)</f>
        <v>2</v>
      </c>
      <c r="C790" cm="1">
        <f t="array" ref="C790">INDEX($J$665:$J$714, 817 - ROW() + 1)</f>
        <v>1.73</v>
      </c>
      <c r="D790" cm="1">
        <f t="array" ref="D790">INDEX($J$614:$J$663, 817 - ROW() + 1)</f>
        <v>1</v>
      </c>
      <c r="E790" cm="1">
        <f t="array" ref="E790">INDEX($J$563:$J$612, 817 - ROW() + 1)</f>
        <v>1.1399999999999999</v>
      </c>
      <c r="F790" cm="1">
        <f t="array" ref="F790">INDEX($J$512:$J$561, 817 - ROW() + 1)</f>
        <v>0.92</v>
      </c>
      <c r="G790" s="2"/>
      <c r="H790">
        <v>13</v>
      </c>
    </row>
    <row r="791" spans="1:8" x14ac:dyDescent="0.35">
      <c r="A791">
        <v>24</v>
      </c>
      <c r="B791" cm="1">
        <f t="array" ref="B791">INDEX($J$716:$J$765, 817 - ROW() + 1)</f>
        <v>2</v>
      </c>
      <c r="C791" cm="1">
        <f t="array" ref="C791">INDEX($J$665:$J$714, 817 - ROW() + 1)</f>
        <v>1.87</v>
      </c>
      <c r="D791" cm="1">
        <f t="array" ref="D791">INDEX($J$614:$J$663, 817 - ROW() + 1)</f>
        <v>1.22</v>
      </c>
      <c r="E791" cm="1">
        <f t="array" ref="E791">INDEX($J$563:$J$612, 817 - ROW() + 1)</f>
        <v>1.05</v>
      </c>
      <c r="F791" cm="1">
        <f t="array" ref="F791">INDEX($J$512:$J$561, 817 - ROW() + 1)</f>
        <v>0.92</v>
      </c>
      <c r="G791" s="2"/>
      <c r="H791">
        <v>14</v>
      </c>
    </row>
    <row r="792" spans="1:8" x14ac:dyDescent="0.35">
      <c r="A792">
        <v>25</v>
      </c>
      <c r="B792" cm="1">
        <f t="array" ref="B792">INDEX($J$716:$J$765, 817 - ROW() + 1)</f>
        <v>2</v>
      </c>
      <c r="C792" cm="1">
        <f t="array" ref="C792">INDEX($J$665:$J$714, 817 - ROW() + 1)</f>
        <v>1.6</v>
      </c>
      <c r="D792" cm="1">
        <f t="array" ref="D792">INDEX($J$614:$J$663, 817 - ROW() + 1)</f>
        <v>1.33</v>
      </c>
      <c r="E792" cm="1">
        <f t="array" ref="E792">INDEX($J$563:$J$612, 817 - ROW() + 1)</f>
        <v>0.86</v>
      </c>
      <c r="F792" cm="1">
        <f t="array" ref="F792">INDEX($J$512:$J$561, 817 - ROW() + 1)</f>
        <v>0.67</v>
      </c>
      <c r="G792" s="2"/>
      <c r="H792">
        <v>15</v>
      </c>
    </row>
    <row r="793" spans="1:8" x14ac:dyDescent="0.35">
      <c r="A793">
        <v>26</v>
      </c>
      <c r="B793" cm="1">
        <f t="array" ref="B793">INDEX($J$716:$J$765, 817 - ROW() + 1)</f>
        <v>2.17</v>
      </c>
      <c r="C793" cm="1">
        <f t="array" ref="C793">INDEX($J$665:$J$714, 817 - ROW() + 1)</f>
        <v>1.47</v>
      </c>
      <c r="D793" cm="1">
        <f t="array" ref="D793">INDEX($J$614:$J$663, 817 - ROW() + 1)</f>
        <v>1.22</v>
      </c>
      <c r="E793" cm="1">
        <f t="array" ref="E793">INDEX($J$563:$J$612, 817 - ROW() + 1)</f>
        <v>1.05</v>
      </c>
      <c r="F793" cm="1">
        <f t="array" ref="F793">INDEX($J$512:$J$561, 817 - ROW() + 1)</f>
        <v>1.17</v>
      </c>
      <c r="G793" s="2"/>
      <c r="H793">
        <v>16</v>
      </c>
    </row>
    <row r="794" spans="1:8" x14ac:dyDescent="0.35">
      <c r="A794">
        <v>27</v>
      </c>
      <c r="B794" cm="1">
        <f t="array" ref="B794">INDEX($J$716:$J$765, 817 - ROW() + 1)</f>
        <v>1.83</v>
      </c>
      <c r="C794" cm="1">
        <f t="array" ref="C794">INDEX($J$665:$J$714, 817 - ROW() + 1)</f>
        <v>1.2</v>
      </c>
      <c r="D794" cm="1">
        <f t="array" ref="D794">INDEX($J$614:$J$663, 817 - ROW() + 1)</f>
        <v>1.33</v>
      </c>
      <c r="E794" cm="1">
        <f t="array" ref="E794">INDEX($J$563:$J$612, 817 - ROW() + 1)</f>
        <v>0.86</v>
      </c>
      <c r="F794" cm="1">
        <f t="array" ref="F794">INDEX($J$512:$J$561, 817 - ROW() + 1)</f>
        <v>0.83</v>
      </c>
      <c r="G794" s="2"/>
      <c r="H794">
        <v>17</v>
      </c>
    </row>
    <row r="795" spans="1:8" x14ac:dyDescent="0.35">
      <c r="A795">
        <v>28</v>
      </c>
      <c r="B795" cm="1">
        <f t="array" ref="B795">INDEX($J$716:$J$765, 817 - ROW() + 1)</f>
        <v>2</v>
      </c>
      <c r="C795" cm="1">
        <f t="array" ref="C795">INDEX($J$665:$J$714, 817 - ROW() + 1)</f>
        <v>1.47</v>
      </c>
      <c r="D795" cm="1">
        <f t="array" ref="D795">INDEX($J$614:$J$663, 817 - ROW() + 1)</f>
        <v>1.33</v>
      </c>
      <c r="E795" cm="1">
        <f t="array" ref="E795">INDEX($J$563:$J$612, 817 - ROW() + 1)</f>
        <v>0.76</v>
      </c>
      <c r="F795" cm="1">
        <f t="array" ref="F795">INDEX($J$512:$J$561, 817 - ROW() + 1)</f>
        <v>0.92</v>
      </c>
      <c r="G795" s="2"/>
      <c r="H795">
        <v>18</v>
      </c>
    </row>
    <row r="796" spans="1:8" x14ac:dyDescent="0.35">
      <c r="A796">
        <v>29</v>
      </c>
      <c r="B796" cm="1">
        <f t="array" ref="B796">INDEX($J$716:$J$765, 817 - ROW() + 1)</f>
        <v>2.33</v>
      </c>
      <c r="C796" cm="1">
        <f t="array" ref="C796">INDEX($J$665:$J$714, 817 - ROW() + 1)</f>
        <v>1.6</v>
      </c>
      <c r="D796" cm="1">
        <f t="array" ref="D796">INDEX($J$614:$J$663, 817 - ROW() + 1)</f>
        <v>1.22</v>
      </c>
      <c r="E796" cm="1">
        <f t="array" ref="E796">INDEX($J$563:$J$612, 817 - ROW() + 1)</f>
        <v>0.86</v>
      </c>
      <c r="F796" cm="1">
        <f t="array" ref="F796">INDEX($J$512:$J$561, 817 - ROW() + 1)</f>
        <v>0.92</v>
      </c>
      <c r="G796" s="2"/>
      <c r="H796">
        <v>19</v>
      </c>
    </row>
    <row r="797" spans="1:8" x14ac:dyDescent="0.35">
      <c r="A797">
        <v>30</v>
      </c>
      <c r="B797" cm="1">
        <f t="array" ref="B797">INDEX($J$716:$J$765, 817 - ROW() + 1)</f>
        <v>2.17</v>
      </c>
      <c r="C797" cm="1">
        <f t="array" ref="C797">INDEX($J$665:$J$714, 817 - ROW() + 1)</f>
        <v>1.47</v>
      </c>
      <c r="D797" cm="1">
        <f t="array" ref="D797">INDEX($J$614:$J$663, 817 - ROW() + 1)</f>
        <v>1.22</v>
      </c>
      <c r="E797" cm="1">
        <f t="array" ref="E797">INDEX($J$563:$J$612, 817 - ROW() + 1)</f>
        <v>1.1399999999999999</v>
      </c>
      <c r="F797" cm="1">
        <f t="array" ref="F797">INDEX($J$512:$J$561, 817 - ROW() + 1)</f>
        <v>1</v>
      </c>
      <c r="G797" s="2"/>
      <c r="H797">
        <v>20</v>
      </c>
    </row>
    <row r="798" spans="1:8" x14ac:dyDescent="0.35">
      <c r="A798">
        <v>31</v>
      </c>
      <c r="B798" cm="1">
        <f t="array" ref="B798">INDEX($J$716:$J$765, 817 - ROW() + 1)</f>
        <v>1.67</v>
      </c>
      <c r="C798" cm="1">
        <f t="array" ref="C798">INDEX($J$665:$J$714, 817 - ROW() + 1)</f>
        <v>1.47</v>
      </c>
      <c r="D798" cm="1">
        <f t="array" ref="D798">INDEX($J$614:$J$663, 817 - ROW() + 1)</f>
        <v>1.22</v>
      </c>
      <c r="E798" cm="1">
        <f t="array" ref="E798">INDEX($J$563:$J$612, 817 - ROW() + 1)</f>
        <v>0.86</v>
      </c>
      <c r="F798" cm="1">
        <f t="array" ref="F798">INDEX($J$512:$J$561, 817 - ROW() + 1)</f>
        <v>0.83</v>
      </c>
      <c r="G798" s="2"/>
      <c r="H798">
        <v>21</v>
      </c>
    </row>
    <row r="799" spans="1:8" x14ac:dyDescent="0.35">
      <c r="A799">
        <v>32</v>
      </c>
      <c r="B799" cm="1">
        <f t="array" ref="B799">INDEX($J$716:$J$765, 817 - ROW() + 1)</f>
        <v>1.83</v>
      </c>
      <c r="C799" cm="1">
        <f t="array" ref="C799">INDEX($J$665:$J$714, 817 - ROW() + 1)</f>
        <v>1.47</v>
      </c>
      <c r="D799" cm="1">
        <f t="array" ref="D799">INDEX($J$614:$J$663, 817 - ROW() + 1)</f>
        <v>1.33</v>
      </c>
      <c r="E799" cm="1">
        <f t="array" ref="E799">INDEX($J$563:$J$612, 817 - ROW() + 1)</f>
        <v>0.86</v>
      </c>
      <c r="F799" cm="1">
        <f t="array" ref="F799">INDEX($J$512:$J$561, 817 - ROW() + 1)</f>
        <v>0.92</v>
      </c>
      <c r="G799" s="2"/>
      <c r="H799">
        <v>22</v>
      </c>
    </row>
    <row r="800" spans="1:8" x14ac:dyDescent="0.35">
      <c r="A800">
        <v>33</v>
      </c>
      <c r="B800" cm="1">
        <f t="array" ref="B800">INDEX($J$716:$J$765, 817 - ROW() + 1)</f>
        <v>1.83</v>
      </c>
      <c r="C800" cm="1">
        <f t="array" ref="C800">INDEX($J$665:$J$714, 817 - ROW() + 1)</f>
        <v>1.47</v>
      </c>
      <c r="D800" cm="1">
        <f t="array" ref="D800">INDEX($J$614:$J$663, 817 - ROW() + 1)</f>
        <v>1.22</v>
      </c>
      <c r="E800" cm="1">
        <f t="array" ref="E800">INDEX($J$563:$J$612, 817 - ROW() + 1)</f>
        <v>1.1399999999999999</v>
      </c>
      <c r="F800" cm="1">
        <f t="array" ref="F800">INDEX($J$512:$J$561, 817 - ROW() + 1)</f>
        <v>0.92</v>
      </c>
      <c r="G800" s="2"/>
      <c r="H800">
        <v>23</v>
      </c>
    </row>
    <row r="801" spans="1:8" x14ac:dyDescent="0.35">
      <c r="A801">
        <v>34</v>
      </c>
      <c r="B801" cm="1">
        <f t="array" ref="B801">INDEX($J$716:$J$765, 817 - ROW() + 1)</f>
        <v>2</v>
      </c>
      <c r="C801" cm="1">
        <f t="array" ref="C801">INDEX($J$665:$J$714, 817 - ROW() + 1)</f>
        <v>1.6</v>
      </c>
      <c r="D801" cm="1">
        <f t="array" ref="D801">INDEX($J$614:$J$663, 817 - ROW() + 1)</f>
        <v>1.33</v>
      </c>
      <c r="E801" cm="1">
        <f t="array" ref="E801">INDEX($J$563:$J$612, 817 - ROW() + 1)</f>
        <v>1.05</v>
      </c>
      <c r="F801" cm="1">
        <f t="array" ref="F801">INDEX($J$512:$J$561, 817 - ROW() + 1)</f>
        <v>1</v>
      </c>
      <c r="G801" s="2"/>
      <c r="H801">
        <v>24</v>
      </c>
    </row>
    <row r="802" spans="1:8" x14ac:dyDescent="0.35">
      <c r="A802">
        <v>35</v>
      </c>
      <c r="B802" cm="1">
        <f t="array" ref="B802">INDEX($J$716:$J$765, 817 - ROW() + 1)</f>
        <v>1.67</v>
      </c>
      <c r="C802" cm="1">
        <f t="array" ref="C802">INDEX($J$665:$J$714, 817 - ROW() + 1)</f>
        <v>1.47</v>
      </c>
      <c r="D802" cm="1">
        <f t="array" ref="D802">INDEX($J$614:$J$663, 817 - ROW() + 1)</f>
        <v>1.33</v>
      </c>
      <c r="E802" cm="1">
        <f t="array" ref="E802">INDEX($J$563:$J$612, 817 - ROW() + 1)</f>
        <v>1.05</v>
      </c>
      <c r="F802" cm="1">
        <f t="array" ref="F802">INDEX($J$512:$J$561, 817 - ROW() + 1)</f>
        <v>1</v>
      </c>
      <c r="G802" s="2"/>
      <c r="H802">
        <v>25</v>
      </c>
    </row>
    <row r="803" spans="1:8" x14ac:dyDescent="0.35">
      <c r="A803">
        <v>36</v>
      </c>
      <c r="B803" cm="1">
        <f t="array" ref="B803">INDEX($J$716:$J$765, 817 - ROW() + 1)</f>
        <v>2.33</v>
      </c>
      <c r="C803" cm="1">
        <f t="array" ref="C803">INDEX($J$665:$J$714, 817 - ROW() + 1)</f>
        <v>1.47</v>
      </c>
      <c r="D803" cm="1">
        <f t="array" ref="D803">INDEX($J$614:$J$663, 817 - ROW() + 1)</f>
        <v>1</v>
      </c>
      <c r="E803" cm="1">
        <f t="array" ref="E803">INDEX($J$563:$J$612, 817 - ROW() + 1)</f>
        <v>0.76</v>
      </c>
      <c r="F803" cm="1">
        <f t="array" ref="F803">INDEX($J$512:$J$561, 817 - ROW() + 1)</f>
        <v>0.75</v>
      </c>
      <c r="G803" s="2"/>
      <c r="H803">
        <v>26</v>
      </c>
    </row>
    <row r="804" spans="1:8" x14ac:dyDescent="0.35">
      <c r="A804">
        <v>37</v>
      </c>
      <c r="B804" cm="1">
        <f t="array" ref="B804">INDEX($J$716:$J$765, 817 - ROW() + 1)</f>
        <v>1.83</v>
      </c>
      <c r="C804" cm="1">
        <f t="array" ref="C804">INDEX($J$665:$J$714, 817 - ROW() + 1)</f>
        <v>1.47</v>
      </c>
      <c r="D804" cm="1">
        <f t="array" ref="D804">INDEX($J$614:$J$663, 817 - ROW() + 1)</f>
        <v>1.33</v>
      </c>
      <c r="E804" cm="1">
        <f t="array" ref="E804">INDEX($J$563:$J$612, 817 - ROW() + 1)</f>
        <v>1.05</v>
      </c>
      <c r="F804" cm="1">
        <f t="array" ref="F804">INDEX($J$512:$J$561, 817 - ROW() + 1)</f>
        <v>0.92</v>
      </c>
      <c r="G804" s="2"/>
      <c r="H804">
        <v>27</v>
      </c>
    </row>
    <row r="805" spans="1:8" x14ac:dyDescent="0.35">
      <c r="A805">
        <v>38</v>
      </c>
      <c r="B805" cm="1">
        <f t="array" ref="B805">INDEX($J$716:$J$765, 817 - ROW() + 1)</f>
        <v>2</v>
      </c>
      <c r="C805" cm="1">
        <f t="array" ref="C805">INDEX($J$665:$J$714, 817 - ROW() + 1)</f>
        <v>1.47</v>
      </c>
      <c r="D805" cm="1">
        <f t="array" ref="D805">INDEX($J$614:$J$663, 817 - ROW() + 1)</f>
        <v>1.56</v>
      </c>
      <c r="E805" cm="1">
        <f t="array" ref="E805">INDEX($J$563:$J$612, 817 - ROW() + 1)</f>
        <v>1.05</v>
      </c>
      <c r="F805" cm="1">
        <f t="array" ref="F805">INDEX($J$512:$J$561, 817 - ROW() + 1)</f>
        <v>0.83</v>
      </c>
      <c r="G805" s="2"/>
      <c r="H805">
        <v>28</v>
      </c>
    </row>
    <row r="806" spans="1:8" x14ac:dyDescent="0.35">
      <c r="A806">
        <v>39</v>
      </c>
      <c r="B806" cm="1">
        <f t="array" ref="B806">INDEX($J$716:$J$765, 817 - ROW() + 1)</f>
        <v>2.33</v>
      </c>
      <c r="C806" cm="1">
        <f t="array" ref="C806">INDEX($J$665:$J$714, 817 - ROW() + 1)</f>
        <v>1.73</v>
      </c>
      <c r="D806" cm="1">
        <f t="array" ref="D806">INDEX($J$614:$J$663, 817 - ROW() + 1)</f>
        <v>1.33</v>
      </c>
      <c r="E806" cm="1">
        <f t="array" ref="E806">INDEX($J$563:$J$612, 817 - ROW() + 1)</f>
        <v>0.86</v>
      </c>
      <c r="F806" cm="1">
        <f t="array" ref="F806">INDEX($J$512:$J$561, 817 - ROW() + 1)</f>
        <v>1</v>
      </c>
      <c r="G806" s="2"/>
      <c r="H806">
        <v>29</v>
      </c>
    </row>
    <row r="807" spans="1:8" x14ac:dyDescent="0.35">
      <c r="A807">
        <v>40</v>
      </c>
      <c r="B807" cm="1">
        <f t="array" ref="B807">INDEX($J$716:$J$765, 817 - ROW() + 1)</f>
        <v>2.33</v>
      </c>
      <c r="C807" cm="1">
        <f t="array" ref="C807">INDEX($J$665:$J$714, 817 - ROW() + 1)</f>
        <v>1.6</v>
      </c>
      <c r="D807" cm="1">
        <f t="array" ref="D807">INDEX($J$614:$J$663, 817 - ROW() + 1)</f>
        <v>1.33</v>
      </c>
      <c r="E807" cm="1">
        <f t="array" ref="E807">INDEX($J$563:$J$612, 817 - ROW() + 1)</f>
        <v>0.95</v>
      </c>
      <c r="F807" cm="1">
        <f t="array" ref="F807">INDEX($J$512:$J$561, 817 - ROW() + 1)</f>
        <v>0.83</v>
      </c>
      <c r="G807" s="2"/>
      <c r="H807">
        <v>30</v>
      </c>
    </row>
    <row r="808" spans="1:8" x14ac:dyDescent="0.35">
      <c r="A808">
        <v>41</v>
      </c>
      <c r="B808" cm="1">
        <f t="array" ref="B808">INDEX($J$716:$J$765, 817 - ROW() + 1)</f>
        <v>2</v>
      </c>
      <c r="C808" cm="1">
        <f t="array" ref="C808">INDEX($J$665:$J$714, 817 - ROW() + 1)</f>
        <v>1.2</v>
      </c>
      <c r="D808" cm="1">
        <f t="array" ref="D808">INDEX($J$614:$J$663, 817 - ROW() + 1)</f>
        <v>1.56</v>
      </c>
      <c r="E808" cm="1">
        <f t="array" ref="E808">INDEX($J$563:$J$612, 817 - ROW() + 1)</f>
        <v>0.86</v>
      </c>
      <c r="F808" cm="1">
        <f t="array" ref="F808">INDEX($J$512:$J$561, 817 - ROW() + 1)</f>
        <v>0.75</v>
      </c>
      <c r="G808" s="2"/>
      <c r="H808">
        <v>31</v>
      </c>
    </row>
    <row r="809" spans="1:8" x14ac:dyDescent="0.35">
      <c r="A809">
        <v>42</v>
      </c>
      <c r="B809" cm="1">
        <f t="array" ref="B809">INDEX($J$716:$J$765, 817 - ROW() + 1)</f>
        <v>1.83</v>
      </c>
      <c r="C809" cm="1">
        <f t="array" ref="C809">INDEX($J$665:$J$714, 817 - ROW() + 1)</f>
        <v>1.47</v>
      </c>
      <c r="D809" cm="1">
        <f t="array" ref="D809">INDEX($J$614:$J$663, 817 - ROW() + 1)</f>
        <v>1.1100000000000001</v>
      </c>
      <c r="E809" cm="1">
        <f t="array" ref="E809">INDEX($J$563:$J$612, 817 - ROW() + 1)</f>
        <v>0.95</v>
      </c>
      <c r="F809" cm="1">
        <f t="array" ref="F809">INDEX($J$512:$J$561, 817 - ROW() + 1)</f>
        <v>1</v>
      </c>
      <c r="G809" s="2"/>
      <c r="H809">
        <v>32</v>
      </c>
    </row>
    <row r="810" spans="1:8" x14ac:dyDescent="0.35">
      <c r="A810">
        <v>43</v>
      </c>
      <c r="B810" cm="1">
        <f t="array" ref="B810">INDEX($J$716:$J$765, 817 - ROW() + 1)</f>
        <v>2</v>
      </c>
      <c r="C810" cm="1">
        <f t="array" ref="C810">INDEX($J$665:$J$714, 817 - ROW() + 1)</f>
        <v>1.33</v>
      </c>
      <c r="D810" cm="1">
        <f t="array" ref="D810">INDEX($J$614:$J$663, 817 - ROW() + 1)</f>
        <v>1.56</v>
      </c>
      <c r="E810" cm="1">
        <f t="array" ref="E810">INDEX($J$563:$J$612, 817 - ROW() + 1)</f>
        <v>1.1399999999999999</v>
      </c>
      <c r="F810" cm="1">
        <f t="array" ref="F810">INDEX($J$512:$J$561, 817 - ROW() + 1)</f>
        <v>0.83</v>
      </c>
      <c r="G810" s="2"/>
      <c r="H810">
        <v>33</v>
      </c>
    </row>
    <row r="811" spans="1:8" x14ac:dyDescent="0.35">
      <c r="A811">
        <v>44</v>
      </c>
      <c r="B811" cm="1">
        <f t="array" ref="B811">INDEX($J$716:$J$765, 817 - ROW() + 1)</f>
        <v>2</v>
      </c>
      <c r="C811" cm="1">
        <f t="array" ref="C811">INDEX($J$665:$J$714, 817 - ROW() + 1)</f>
        <v>1.33</v>
      </c>
      <c r="D811" cm="1">
        <f t="array" ref="D811">INDEX($J$614:$J$663, 817 - ROW() + 1)</f>
        <v>1.56</v>
      </c>
      <c r="E811" cm="1">
        <f t="array" ref="E811">INDEX($J$563:$J$612, 817 - ROW() + 1)</f>
        <v>1.05</v>
      </c>
      <c r="F811" cm="1">
        <f t="array" ref="F811">INDEX($J$512:$J$561, 817 - ROW() + 1)</f>
        <v>1</v>
      </c>
      <c r="G811" s="2"/>
      <c r="H811">
        <v>34</v>
      </c>
    </row>
    <row r="812" spans="1:8" x14ac:dyDescent="0.35">
      <c r="A812">
        <v>45</v>
      </c>
      <c r="B812" cm="1">
        <f t="array" ref="B812">INDEX($J$716:$J$765, 817 - ROW() + 1)</f>
        <v>2</v>
      </c>
      <c r="C812" cm="1">
        <f t="array" ref="C812">INDEX($J$665:$J$714, 817 - ROW() + 1)</f>
        <v>1.47</v>
      </c>
      <c r="D812" cm="1">
        <f t="array" ref="D812">INDEX($J$614:$J$663, 817 - ROW() + 1)</f>
        <v>1.22</v>
      </c>
      <c r="E812" cm="1">
        <f t="array" ref="E812">INDEX($J$563:$J$612, 817 - ROW() + 1)</f>
        <v>1.05</v>
      </c>
      <c r="F812" cm="1">
        <f t="array" ref="F812">INDEX($J$512:$J$561, 817 - ROW() + 1)</f>
        <v>1.17</v>
      </c>
      <c r="G812" s="2"/>
      <c r="H812">
        <v>35</v>
      </c>
    </row>
    <row r="813" spans="1:8" x14ac:dyDescent="0.35">
      <c r="A813">
        <v>46</v>
      </c>
      <c r="B813" cm="1">
        <f t="array" ref="B813">INDEX($J$716:$J$765, 817 - ROW() + 1)</f>
        <v>1.83</v>
      </c>
      <c r="C813" cm="1">
        <f t="array" ref="C813">INDEX($J$665:$J$714, 817 - ROW() + 1)</f>
        <v>1.6</v>
      </c>
      <c r="D813" cm="1">
        <f t="array" ref="D813">INDEX($J$614:$J$663, 817 - ROW() + 1)</f>
        <v>1.44</v>
      </c>
      <c r="E813" cm="1">
        <f t="array" ref="E813">INDEX($J$563:$J$612, 817 - ROW() + 1)</f>
        <v>0.95</v>
      </c>
      <c r="F813" cm="1">
        <f t="array" ref="F813">INDEX($J$512:$J$561, 817 - ROW() + 1)</f>
        <v>1</v>
      </c>
      <c r="G813" s="2"/>
      <c r="H813">
        <v>36</v>
      </c>
    </row>
    <row r="814" spans="1:8" x14ac:dyDescent="0.35">
      <c r="A814">
        <v>47</v>
      </c>
      <c r="B814" cm="1">
        <f t="array" ref="B814">INDEX($J$716:$J$765, 817 - ROW() + 1)</f>
        <v>2</v>
      </c>
      <c r="C814" cm="1">
        <f t="array" ref="C814">INDEX($J$665:$J$714, 817 - ROW() + 1)</f>
        <v>1.2</v>
      </c>
      <c r="D814" cm="1">
        <f t="array" ref="D814">INDEX($J$614:$J$663, 817 - ROW() + 1)</f>
        <v>1.22</v>
      </c>
      <c r="E814" cm="1">
        <f t="array" ref="E814">INDEX($J$563:$J$612, 817 - ROW() + 1)</f>
        <v>1.1399999999999999</v>
      </c>
      <c r="F814" cm="1">
        <f t="array" ref="F814">INDEX($J$512:$J$561, 817 - ROW() + 1)</f>
        <v>0.83</v>
      </c>
      <c r="G814" s="2"/>
      <c r="H814">
        <v>37</v>
      </c>
    </row>
    <row r="815" spans="1:8" x14ac:dyDescent="0.35">
      <c r="A815">
        <v>48</v>
      </c>
      <c r="B815" cm="1">
        <f t="array" ref="B815">INDEX($J$716:$J$765, 817 - ROW() + 1)</f>
        <v>1.83</v>
      </c>
      <c r="C815" cm="1">
        <f t="array" ref="C815">INDEX($J$665:$J$714, 817 - ROW() + 1)</f>
        <v>1.33</v>
      </c>
      <c r="D815" cm="1">
        <f t="array" ref="D815">INDEX($J$614:$J$663, 817 - ROW() + 1)</f>
        <v>1.22</v>
      </c>
      <c r="E815" cm="1">
        <f t="array" ref="E815">INDEX($J$563:$J$612, 817 - ROW() + 1)</f>
        <v>1.05</v>
      </c>
      <c r="F815" cm="1">
        <f t="array" ref="F815">INDEX($J$512:$J$561, 817 - ROW() + 1)</f>
        <v>0.75</v>
      </c>
      <c r="G815" s="2"/>
      <c r="H815">
        <v>38</v>
      </c>
    </row>
    <row r="816" spans="1:8" x14ac:dyDescent="0.35">
      <c r="A816">
        <v>49</v>
      </c>
      <c r="B816" cm="1">
        <f t="array" ref="B816">INDEX($J$716:$J$765, 817 - ROW() + 1)</f>
        <v>2.17</v>
      </c>
      <c r="C816" cm="1">
        <f t="array" ref="C816">INDEX($J$665:$J$714, 817 - ROW() + 1)</f>
        <v>1.47</v>
      </c>
      <c r="D816" cm="1">
        <f t="array" ref="D816">INDEX($J$614:$J$663, 817 - ROW() + 1)</f>
        <v>1.56</v>
      </c>
      <c r="E816" cm="1">
        <f t="array" ref="E816">INDEX($J$563:$J$612, 817 - ROW() + 1)</f>
        <v>0.95</v>
      </c>
      <c r="F816" cm="1">
        <f t="array" ref="F816">INDEX($J$512:$J$561, 817 - ROW() + 1)</f>
        <v>0.83</v>
      </c>
      <c r="G816" s="2"/>
      <c r="H816">
        <v>39</v>
      </c>
    </row>
    <row r="817" spans="1:8" x14ac:dyDescent="0.35">
      <c r="A817">
        <v>50</v>
      </c>
      <c r="B817" cm="1">
        <f t="array" ref="B817">INDEX($J$716:$J$765, 817 - ROW() + 1)</f>
        <v>1.83</v>
      </c>
      <c r="C817" cm="1">
        <f t="array" ref="C817">INDEX($J$665:$J$714, 817 - ROW() + 1)</f>
        <v>1.47</v>
      </c>
      <c r="D817" cm="1">
        <f t="array" ref="D817">INDEX($J$614:$J$663, 817 - ROW() + 1)</f>
        <v>1.33</v>
      </c>
      <c r="E817" cm="1">
        <f t="array" ref="E817">INDEX($J$563:$J$612, 817 - ROW() + 1)</f>
        <v>1.1399999999999999</v>
      </c>
      <c r="F817" cm="1">
        <f t="array" ref="F817">INDEX($J$512:$J$561, 817 - ROW() + 1)</f>
        <v>1.08</v>
      </c>
      <c r="G817" s="2"/>
      <c r="H817">
        <v>40</v>
      </c>
    </row>
    <row r="818" spans="1:8" x14ac:dyDescent="0.35">
      <c r="A818">
        <v>51</v>
      </c>
      <c r="B818" cm="1">
        <f t="array" ref="B818">INDEX($J$461:$J$510, 867 - ROW() + 1)</f>
        <v>2.67</v>
      </c>
      <c r="C818" cm="1">
        <f t="array" ref="C818">INDEX($J$410:$J$459, 867 - ROW() + 1)</f>
        <v>1.6</v>
      </c>
      <c r="D818" cm="1">
        <f t="array" ref="D818">INDEX($J$359:$J$408, 867 - ROW() + 1)</f>
        <v>1.1100000000000001</v>
      </c>
      <c r="E818" cm="1">
        <f t="array" ref="E818">INDEX($J$308:$J$357, 867 - ROW() + 1)</f>
        <v>1.33</v>
      </c>
      <c r="F818" cm="1">
        <f t="array" ref="F818">INDEX($J$257:$J$306, 867 - ROW() + 1)</f>
        <v>1.08</v>
      </c>
      <c r="G818" s="2"/>
      <c r="H818">
        <v>41</v>
      </c>
    </row>
    <row r="819" spans="1:8" x14ac:dyDescent="0.35">
      <c r="A819">
        <v>52</v>
      </c>
      <c r="B819" cm="1">
        <f t="array" ref="B819">INDEX($J$461:$J$510, 867 - ROW() + 1)</f>
        <v>2.17</v>
      </c>
      <c r="C819" cm="1">
        <f t="array" ref="C819">INDEX($J$410:$J$459, 867 - ROW() + 1)</f>
        <v>1.47</v>
      </c>
      <c r="D819" cm="1">
        <f t="array" ref="D819">INDEX($J$359:$J$408, 867 - ROW() + 1)</f>
        <v>1</v>
      </c>
      <c r="E819" cm="1">
        <f t="array" ref="E819">INDEX($J$308:$J$357, 867 - ROW() + 1)</f>
        <v>1.33</v>
      </c>
      <c r="F819" cm="1">
        <f t="array" ref="F819">INDEX($J$257:$J$306, 867 - ROW() + 1)</f>
        <v>0.75</v>
      </c>
      <c r="G819" s="2"/>
      <c r="H819">
        <v>42</v>
      </c>
    </row>
    <row r="820" spans="1:8" x14ac:dyDescent="0.35">
      <c r="A820">
        <v>53</v>
      </c>
      <c r="B820" cm="1">
        <f t="array" ref="B820">INDEX($J$461:$J$510, 867 - ROW() + 1)</f>
        <v>2</v>
      </c>
      <c r="C820" cm="1">
        <f t="array" ref="C820">INDEX($J$410:$J$459, 867 - ROW() + 1)</f>
        <v>1.47</v>
      </c>
      <c r="D820" cm="1">
        <f t="array" ref="D820">INDEX($J$359:$J$408, 867 - ROW() + 1)</f>
        <v>1.22</v>
      </c>
      <c r="E820" cm="1">
        <f t="array" ref="E820">INDEX($J$308:$J$357, 867 - ROW() + 1)</f>
        <v>1.05</v>
      </c>
      <c r="F820" cm="1">
        <f t="array" ref="F820">INDEX($J$257:$J$306, 867 - ROW() + 1)</f>
        <v>0.75</v>
      </c>
      <c r="G820" s="2"/>
      <c r="H820">
        <v>43</v>
      </c>
    </row>
    <row r="821" spans="1:8" x14ac:dyDescent="0.35">
      <c r="A821">
        <v>54</v>
      </c>
      <c r="B821" cm="1">
        <f t="array" ref="B821">INDEX($J$461:$J$510, 867 - ROW() + 1)</f>
        <v>2.33</v>
      </c>
      <c r="C821" cm="1">
        <f t="array" ref="C821">INDEX($J$410:$J$459, 867 - ROW() + 1)</f>
        <v>1.47</v>
      </c>
      <c r="D821" cm="1">
        <f t="array" ref="D821">INDEX($J$359:$J$408, 867 - ROW() + 1)</f>
        <v>1.33</v>
      </c>
      <c r="E821" cm="1">
        <f t="array" ref="E821">INDEX($J$308:$J$357, 867 - ROW() + 1)</f>
        <v>0.95</v>
      </c>
      <c r="F821" cm="1">
        <f t="array" ref="F821">INDEX($J$257:$J$306, 867 - ROW() + 1)</f>
        <v>0.67</v>
      </c>
      <c r="G821" s="2"/>
      <c r="H821">
        <v>44</v>
      </c>
    </row>
    <row r="822" spans="1:8" x14ac:dyDescent="0.35">
      <c r="A822">
        <v>55</v>
      </c>
      <c r="B822" cm="1">
        <f t="array" ref="B822">INDEX($J$461:$J$510, 867 - ROW() + 1)</f>
        <v>2.33</v>
      </c>
      <c r="C822" cm="1">
        <f t="array" ref="C822">INDEX($J$410:$J$459, 867 - ROW() + 1)</f>
        <v>1.73</v>
      </c>
      <c r="D822" cm="1">
        <f t="array" ref="D822">INDEX($J$359:$J$408, 867 - ROW() + 1)</f>
        <v>1.22</v>
      </c>
      <c r="E822" cm="1">
        <f t="array" ref="E822">INDEX($J$308:$J$357, 867 - ROW() + 1)</f>
        <v>1.1399999999999999</v>
      </c>
      <c r="F822" cm="1">
        <f t="array" ref="F822">INDEX($J$257:$J$306, 867 - ROW() + 1)</f>
        <v>0.92</v>
      </c>
      <c r="G822" s="2"/>
      <c r="H822">
        <v>45</v>
      </c>
    </row>
    <row r="823" spans="1:8" x14ac:dyDescent="0.35">
      <c r="A823">
        <v>56</v>
      </c>
      <c r="B823" cm="1">
        <f t="array" ref="B823">INDEX($J$461:$J$510, 867 - ROW() + 1)</f>
        <v>2.5</v>
      </c>
      <c r="C823" cm="1">
        <f t="array" ref="C823">INDEX($J$410:$J$459, 867 - ROW() + 1)</f>
        <v>1.6</v>
      </c>
      <c r="D823" cm="1">
        <f t="array" ref="D823">INDEX($J$359:$J$408, 867 - ROW() + 1)</f>
        <v>1.22</v>
      </c>
      <c r="E823" cm="1">
        <f t="array" ref="E823">INDEX($J$308:$J$357, 867 - ROW() + 1)</f>
        <v>1.05</v>
      </c>
      <c r="F823" cm="1">
        <f t="array" ref="F823">INDEX($J$257:$J$306, 867 - ROW() + 1)</f>
        <v>0.75</v>
      </c>
      <c r="G823" s="2"/>
      <c r="H823">
        <v>46</v>
      </c>
    </row>
    <row r="824" spans="1:8" x14ac:dyDescent="0.35">
      <c r="A824">
        <v>57</v>
      </c>
      <c r="B824" cm="1">
        <f t="array" ref="B824">INDEX($J$461:$J$510, 867 - ROW() + 1)</f>
        <v>2.33</v>
      </c>
      <c r="C824" cm="1">
        <f t="array" ref="C824">INDEX($J$410:$J$459, 867 - ROW() + 1)</f>
        <v>1.6</v>
      </c>
      <c r="D824" cm="1">
        <f t="array" ref="D824">INDEX($J$359:$J$408, 867 - ROW() + 1)</f>
        <v>1.22</v>
      </c>
      <c r="E824" cm="1">
        <f t="array" ref="E824">INDEX($J$308:$J$357, 867 - ROW() + 1)</f>
        <v>0.86</v>
      </c>
      <c r="F824" cm="1">
        <f t="array" ref="F824">INDEX($J$257:$J$306, 867 - ROW() + 1)</f>
        <v>0.92</v>
      </c>
      <c r="G824" s="2"/>
      <c r="H824">
        <v>47</v>
      </c>
    </row>
    <row r="825" spans="1:8" x14ac:dyDescent="0.35">
      <c r="A825">
        <v>58</v>
      </c>
      <c r="B825" cm="1">
        <f t="array" ref="B825">INDEX($J$461:$J$510, 867 - ROW() + 1)</f>
        <v>2</v>
      </c>
      <c r="C825" cm="1">
        <f t="array" ref="C825">INDEX($J$410:$J$459, 867 - ROW() + 1)</f>
        <v>1.6</v>
      </c>
      <c r="D825" cm="1">
        <f t="array" ref="D825">INDEX($J$359:$J$408, 867 - ROW() + 1)</f>
        <v>1</v>
      </c>
      <c r="E825" cm="1">
        <f t="array" ref="E825">INDEX($J$308:$J$357, 867 - ROW() + 1)</f>
        <v>0.76</v>
      </c>
      <c r="F825" cm="1">
        <f t="array" ref="F825">INDEX($J$257:$J$306, 867 - ROW() + 1)</f>
        <v>0.92</v>
      </c>
      <c r="G825" s="2"/>
      <c r="H825">
        <v>48</v>
      </c>
    </row>
    <row r="826" spans="1:8" x14ac:dyDescent="0.35">
      <c r="A826">
        <v>59</v>
      </c>
      <c r="B826" cm="1">
        <f t="array" ref="B826">INDEX($J$461:$J$510, 867 - ROW() + 1)</f>
        <v>2</v>
      </c>
      <c r="C826" cm="1">
        <f t="array" ref="C826">INDEX($J$410:$J$459, 867 - ROW() + 1)</f>
        <v>1.6</v>
      </c>
      <c r="D826" cm="1">
        <f t="array" ref="D826">INDEX($J$359:$J$408, 867 - ROW() + 1)</f>
        <v>1.22</v>
      </c>
      <c r="E826" cm="1">
        <f t="array" ref="E826">INDEX($J$308:$J$357, 867 - ROW() + 1)</f>
        <v>1.05</v>
      </c>
      <c r="F826" cm="1">
        <f t="array" ref="F826">INDEX($J$257:$J$306, 867 - ROW() + 1)</f>
        <v>0.75</v>
      </c>
      <c r="G826" s="2"/>
      <c r="H826">
        <v>49</v>
      </c>
    </row>
    <row r="827" spans="1:8" x14ac:dyDescent="0.35">
      <c r="A827">
        <v>60</v>
      </c>
      <c r="B827" cm="1">
        <f t="array" ref="B827">INDEX($J$461:$J$510, 867 - ROW() + 1)</f>
        <v>2</v>
      </c>
      <c r="C827" cm="1">
        <f t="array" ref="C827">INDEX($J$410:$J$459, 867 - ROW() + 1)</f>
        <v>1.6</v>
      </c>
      <c r="D827" cm="1">
        <f t="array" ref="D827">INDEX($J$359:$J$408, 867 - ROW() + 1)</f>
        <v>1.1100000000000001</v>
      </c>
      <c r="E827" cm="1">
        <f t="array" ref="E827">INDEX($J$308:$J$357, 867 - ROW() + 1)</f>
        <v>0.95</v>
      </c>
      <c r="F827" cm="1">
        <f t="array" ref="F827">INDEX($J$257:$J$306, 867 - ROW() + 1)</f>
        <v>0.92</v>
      </c>
      <c r="G827" s="2"/>
      <c r="H827">
        <v>50</v>
      </c>
    </row>
    <row r="828" spans="1:8" x14ac:dyDescent="0.35">
      <c r="A828">
        <v>61</v>
      </c>
      <c r="B828" cm="1">
        <f t="array" ref="B828">INDEX($J$461:$J$510, 867 - ROW() + 1)</f>
        <v>2</v>
      </c>
      <c r="C828" cm="1">
        <f t="array" ref="C828">INDEX($J$410:$J$459, 867 - ROW() + 1)</f>
        <v>1.33</v>
      </c>
      <c r="D828" cm="1">
        <f t="array" ref="D828">INDEX($J$359:$J$408, 867 - ROW() + 1)</f>
        <v>1.22</v>
      </c>
      <c r="E828" cm="1">
        <f t="array" ref="E828">INDEX($J$308:$J$357, 867 - ROW() + 1)</f>
        <v>1.05</v>
      </c>
      <c r="F828" cm="1">
        <f t="array" ref="F828">INDEX($J$257:$J$306, 867 - ROW() + 1)</f>
        <v>0.92</v>
      </c>
      <c r="G828" s="2"/>
      <c r="H828">
        <v>51</v>
      </c>
    </row>
    <row r="829" spans="1:8" x14ac:dyDescent="0.35">
      <c r="A829">
        <v>62</v>
      </c>
      <c r="B829" cm="1">
        <f t="array" ref="B829">INDEX($J$461:$J$510, 867 - ROW() + 1)</f>
        <v>2</v>
      </c>
      <c r="C829" cm="1">
        <f t="array" ref="C829">INDEX($J$410:$J$459, 867 - ROW() + 1)</f>
        <v>1.47</v>
      </c>
      <c r="D829" cm="1">
        <f t="array" ref="D829">INDEX($J$359:$J$408, 867 - ROW() + 1)</f>
        <v>1.22</v>
      </c>
      <c r="E829" cm="1">
        <f t="array" ref="E829">INDEX($J$308:$J$357, 867 - ROW() + 1)</f>
        <v>0.86</v>
      </c>
      <c r="F829" cm="1">
        <f t="array" ref="F829">INDEX($J$257:$J$306, 867 - ROW() + 1)</f>
        <v>0.75</v>
      </c>
      <c r="G829" s="2"/>
      <c r="H829">
        <v>52</v>
      </c>
    </row>
    <row r="830" spans="1:8" x14ac:dyDescent="0.35">
      <c r="A830">
        <v>63</v>
      </c>
      <c r="B830" cm="1">
        <f t="array" ref="B830">INDEX($J$461:$J$510, 867 - ROW() + 1)</f>
        <v>2</v>
      </c>
      <c r="C830" cm="1">
        <f t="array" ref="C830">INDEX($J$410:$J$459, 867 - ROW() + 1)</f>
        <v>1.6</v>
      </c>
      <c r="D830" cm="1">
        <f t="array" ref="D830">INDEX($J$359:$J$408, 867 - ROW() + 1)</f>
        <v>0.89</v>
      </c>
      <c r="E830" cm="1">
        <f t="array" ref="E830">INDEX($J$308:$J$357, 867 - ROW() + 1)</f>
        <v>1.05</v>
      </c>
      <c r="F830" cm="1">
        <f t="array" ref="F830">INDEX($J$257:$J$306, 867 - ROW() + 1)</f>
        <v>0.83</v>
      </c>
      <c r="G830" s="2"/>
      <c r="H830">
        <v>53</v>
      </c>
    </row>
    <row r="831" spans="1:8" x14ac:dyDescent="0.35">
      <c r="A831">
        <v>64</v>
      </c>
      <c r="B831" cm="1">
        <f t="array" ref="B831">INDEX($J$461:$J$510, 867 - ROW() + 1)</f>
        <v>2</v>
      </c>
      <c r="C831" cm="1">
        <f t="array" ref="C831">INDEX($J$410:$J$459, 867 - ROW() + 1)</f>
        <v>1.6</v>
      </c>
      <c r="D831" cm="1">
        <f t="array" ref="D831">INDEX($J$359:$J$408, 867 - ROW() + 1)</f>
        <v>1</v>
      </c>
      <c r="E831" cm="1">
        <f t="array" ref="E831">INDEX($J$308:$J$357, 867 - ROW() + 1)</f>
        <v>0.86</v>
      </c>
      <c r="F831" cm="1">
        <f t="array" ref="F831">INDEX($J$257:$J$306, 867 - ROW() + 1)</f>
        <v>0.67</v>
      </c>
      <c r="G831" s="2"/>
      <c r="H831">
        <v>54</v>
      </c>
    </row>
    <row r="832" spans="1:8" x14ac:dyDescent="0.35">
      <c r="A832">
        <v>65</v>
      </c>
      <c r="B832" cm="1">
        <f t="array" ref="B832">INDEX($J$461:$J$510, 867 - ROW() + 1)</f>
        <v>2.17</v>
      </c>
      <c r="C832" cm="1">
        <f t="array" ref="C832">INDEX($J$410:$J$459, 867 - ROW() + 1)</f>
        <v>1.47</v>
      </c>
      <c r="D832" cm="1">
        <f t="array" ref="D832">INDEX($J$359:$J$408, 867 - ROW() + 1)</f>
        <v>1.1100000000000001</v>
      </c>
      <c r="E832" cm="1">
        <f t="array" ref="E832">INDEX($J$308:$J$357, 867 - ROW() + 1)</f>
        <v>0.86</v>
      </c>
      <c r="F832" cm="1">
        <f t="array" ref="F832">INDEX($J$257:$J$306, 867 - ROW() + 1)</f>
        <v>0.75</v>
      </c>
      <c r="G832" s="2"/>
      <c r="H832">
        <v>55</v>
      </c>
    </row>
    <row r="833" spans="1:8" x14ac:dyDescent="0.35">
      <c r="A833">
        <v>66</v>
      </c>
      <c r="B833" cm="1">
        <f t="array" ref="B833">INDEX($J$461:$J$510, 867 - ROW() + 1)</f>
        <v>2.33</v>
      </c>
      <c r="C833" cm="1">
        <f t="array" ref="C833">INDEX($J$410:$J$459, 867 - ROW() + 1)</f>
        <v>1.6</v>
      </c>
      <c r="D833" cm="1">
        <f t="array" ref="D833">INDEX($J$359:$J$408, 867 - ROW() + 1)</f>
        <v>1.1100000000000001</v>
      </c>
      <c r="E833" cm="1">
        <f t="array" ref="E833">INDEX($J$308:$J$357, 867 - ROW() + 1)</f>
        <v>1.24</v>
      </c>
      <c r="F833" cm="1">
        <f t="array" ref="F833">INDEX($J$257:$J$306, 867 - ROW() + 1)</f>
        <v>0.75</v>
      </c>
      <c r="G833" s="2"/>
      <c r="H833">
        <v>56</v>
      </c>
    </row>
    <row r="834" spans="1:8" x14ac:dyDescent="0.35">
      <c r="A834">
        <v>67</v>
      </c>
      <c r="B834" cm="1">
        <f t="array" ref="B834">INDEX($J$461:$J$510, 867 - ROW() + 1)</f>
        <v>2.33</v>
      </c>
      <c r="C834" cm="1">
        <f t="array" ref="C834">INDEX($J$410:$J$459, 867 - ROW() + 1)</f>
        <v>1.6</v>
      </c>
      <c r="D834" cm="1">
        <f t="array" ref="D834">INDEX($J$359:$J$408, 867 - ROW() + 1)</f>
        <v>1</v>
      </c>
      <c r="E834" cm="1">
        <f t="array" ref="E834">INDEX($J$308:$J$357, 867 - ROW() + 1)</f>
        <v>0.95</v>
      </c>
      <c r="F834" cm="1">
        <f t="array" ref="F834">INDEX($J$257:$J$306, 867 - ROW() + 1)</f>
        <v>0.83</v>
      </c>
      <c r="G834" s="2"/>
      <c r="H834">
        <v>57</v>
      </c>
    </row>
    <row r="835" spans="1:8" x14ac:dyDescent="0.35">
      <c r="A835">
        <v>68</v>
      </c>
      <c r="B835" cm="1">
        <f t="array" ref="B835">INDEX($J$461:$J$510, 867 - ROW() + 1)</f>
        <v>2.33</v>
      </c>
      <c r="C835" cm="1">
        <f t="array" ref="C835">INDEX($J$410:$J$459, 867 - ROW() + 1)</f>
        <v>1.47</v>
      </c>
      <c r="D835" cm="1">
        <f t="array" ref="D835">INDEX($J$359:$J$408, 867 - ROW() + 1)</f>
        <v>1</v>
      </c>
      <c r="E835" cm="1">
        <f t="array" ref="E835">INDEX($J$308:$J$357, 867 - ROW() + 1)</f>
        <v>0.86</v>
      </c>
      <c r="F835" cm="1">
        <f t="array" ref="F835">INDEX($J$257:$J$306, 867 - ROW() + 1)</f>
        <v>0.83</v>
      </c>
      <c r="G835" s="2"/>
      <c r="H835">
        <v>58</v>
      </c>
    </row>
    <row r="836" spans="1:8" x14ac:dyDescent="0.35">
      <c r="A836">
        <v>69</v>
      </c>
      <c r="B836" cm="1">
        <f t="array" ref="B836">INDEX($J$461:$J$510, 867 - ROW() + 1)</f>
        <v>2.33</v>
      </c>
      <c r="C836" cm="1">
        <f t="array" ref="C836">INDEX($J$410:$J$459, 867 - ROW() + 1)</f>
        <v>1.6</v>
      </c>
      <c r="D836" cm="1">
        <f t="array" ref="D836">INDEX($J$359:$J$408, 867 - ROW() + 1)</f>
        <v>1.22</v>
      </c>
      <c r="E836" cm="1">
        <f t="array" ref="E836">INDEX($J$308:$J$357, 867 - ROW() + 1)</f>
        <v>0.86</v>
      </c>
      <c r="F836" cm="1">
        <f t="array" ref="F836">INDEX($J$257:$J$306, 867 - ROW() + 1)</f>
        <v>1.08</v>
      </c>
      <c r="G836" s="2"/>
      <c r="H836">
        <v>59</v>
      </c>
    </row>
    <row r="837" spans="1:8" x14ac:dyDescent="0.35">
      <c r="A837">
        <v>70</v>
      </c>
      <c r="B837" cm="1">
        <f t="array" ref="B837">INDEX($J$461:$J$510, 867 - ROW() + 1)</f>
        <v>2</v>
      </c>
      <c r="C837" cm="1">
        <f t="array" ref="C837">INDEX($J$410:$J$459, 867 - ROW() + 1)</f>
        <v>1.6</v>
      </c>
      <c r="D837" cm="1">
        <f t="array" ref="D837">INDEX($J$359:$J$408, 867 - ROW() + 1)</f>
        <v>1</v>
      </c>
      <c r="E837" cm="1">
        <f t="array" ref="E837">INDEX($J$308:$J$357, 867 - ROW() + 1)</f>
        <v>1.1399999999999999</v>
      </c>
      <c r="F837" cm="1">
        <f t="array" ref="F837">INDEX($J$257:$J$306, 867 - ROW() + 1)</f>
        <v>0.75</v>
      </c>
      <c r="G837" s="2"/>
      <c r="H837">
        <v>60</v>
      </c>
    </row>
    <row r="838" spans="1:8" x14ac:dyDescent="0.35">
      <c r="A838">
        <v>71</v>
      </c>
      <c r="B838" cm="1">
        <f t="array" ref="B838">INDEX($J$461:$J$510, 867 - ROW() + 1)</f>
        <v>2.33</v>
      </c>
      <c r="C838" cm="1">
        <f t="array" ref="C838">INDEX($J$410:$J$459, 867 - ROW() + 1)</f>
        <v>1.6</v>
      </c>
      <c r="D838" cm="1">
        <f t="array" ref="D838">INDEX($J$359:$J$408, 867 - ROW() + 1)</f>
        <v>1.22</v>
      </c>
      <c r="E838" cm="1">
        <f t="array" ref="E838">INDEX($J$308:$J$357, 867 - ROW() + 1)</f>
        <v>0.86</v>
      </c>
      <c r="F838" cm="1">
        <f t="array" ref="F838">INDEX($J$257:$J$306, 867 - ROW() + 1)</f>
        <v>0.92</v>
      </c>
      <c r="G838" s="2"/>
      <c r="H838">
        <v>61</v>
      </c>
    </row>
    <row r="839" spans="1:8" x14ac:dyDescent="0.35">
      <c r="A839">
        <v>72</v>
      </c>
      <c r="B839" cm="1">
        <f t="array" ref="B839">INDEX($J$461:$J$510, 867 - ROW() + 1)</f>
        <v>2.33</v>
      </c>
      <c r="C839" cm="1">
        <f t="array" ref="C839">INDEX($J$410:$J$459, 867 - ROW() + 1)</f>
        <v>1.47</v>
      </c>
      <c r="D839" cm="1">
        <f t="array" ref="D839">INDEX($J$359:$J$408, 867 - ROW() + 1)</f>
        <v>1</v>
      </c>
      <c r="E839" cm="1">
        <f t="array" ref="E839">INDEX($J$308:$J$357, 867 - ROW() + 1)</f>
        <v>1.05</v>
      </c>
      <c r="F839" cm="1">
        <f t="array" ref="F839">INDEX($J$257:$J$306, 867 - ROW() + 1)</f>
        <v>0.92</v>
      </c>
      <c r="G839" s="2"/>
      <c r="H839">
        <v>62</v>
      </c>
    </row>
    <row r="840" spans="1:8" x14ac:dyDescent="0.35">
      <c r="A840">
        <v>73</v>
      </c>
      <c r="B840" cm="1">
        <f t="array" ref="B840">INDEX($J$461:$J$510, 867 - ROW() + 1)</f>
        <v>2</v>
      </c>
      <c r="C840" cm="1">
        <f t="array" ref="C840">INDEX($J$410:$J$459, 867 - ROW() + 1)</f>
        <v>1.33</v>
      </c>
      <c r="D840" cm="1">
        <f t="array" ref="D840">INDEX($J$359:$J$408, 867 - ROW() + 1)</f>
        <v>1</v>
      </c>
      <c r="E840" cm="1">
        <f t="array" ref="E840">INDEX($J$308:$J$357, 867 - ROW() + 1)</f>
        <v>1.1399999999999999</v>
      </c>
      <c r="F840" cm="1">
        <f t="array" ref="F840">INDEX($J$257:$J$306, 867 - ROW() + 1)</f>
        <v>0.67</v>
      </c>
      <c r="G840" s="2"/>
      <c r="H840">
        <v>63</v>
      </c>
    </row>
    <row r="841" spans="1:8" x14ac:dyDescent="0.35">
      <c r="A841">
        <v>74</v>
      </c>
      <c r="B841" cm="1">
        <f t="array" ref="B841">INDEX($J$461:$J$510, 867 - ROW() + 1)</f>
        <v>2</v>
      </c>
      <c r="C841" cm="1">
        <f t="array" ref="C841">INDEX($J$410:$J$459, 867 - ROW() + 1)</f>
        <v>1.87</v>
      </c>
      <c r="D841" cm="1">
        <f t="array" ref="D841">INDEX($J$359:$J$408, 867 - ROW() + 1)</f>
        <v>1.22</v>
      </c>
      <c r="E841" cm="1">
        <f t="array" ref="E841">INDEX($J$308:$J$357, 867 - ROW() + 1)</f>
        <v>1.05</v>
      </c>
      <c r="F841" cm="1">
        <f t="array" ref="F841">INDEX($J$257:$J$306, 867 - ROW() + 1)</f>
        <v>0.83</v>
      </c>
      <c r="G841" s="2"/>
      <c r="H841">
        <v>64</v>
      </c>
    </row>
    <row r="842" spans="1:8" x14ac:dyDescent="0.35">
      <c r="A842">
        <v>75</v>
      </c>
      <c r="B842" cm="1">
        <f t="array" ref="B842">INDEX($J$461:$J$510, 867 - ROW() + 1)</f>
        <v>2</v>
      </c>
      <c r="C842" cm="1">
        <f t="array" ref="C842">INDEX($J$410:$J$459, 867 - ROW() + 1)</f>
        <v>1.47</v>
      </c>
      <c r="D842" cm="1">
        <f t="array" ref="D842">INDEX($J$359:$J$408, 867 - ROW() + 1)</f>
        <v>1.1100000000000001</v>
      </c>
      <c r="E842" cm="1">
        <f t="array" ref="E842">INDEX($J$308:$J$357, 867 - ROW() + 1)</f>
        <v>0.86</v>
      </c>
      <c r="F842" cm="1">
        <f t="array" ref="F842">INDEX($J$257:$J$306, 867 - ROW() + 1)</f>
        <v>0.75</v>
      </c>
      <c r="G842" s="2"/>
      <c r="H842">
        <v>65</v>
      </c>
    </row>
    <row r="843" spans="1:8" x14ac:dyDescent="0.35">
      <c r="A843">
        <v>76</v>
      </c>
      <c r="B843" cm="1">
        <f t="array" ref="B843">INDEX($J$461:$J$510, 867 - ROW() + 1)</f>
        <v>2.17</v>
      </c>
      <c r="C843" cm="1">
        <f t="array" ref="C843">INDEX($J$410:$J$459, 867 - ROW() + 1)</f>
        <v>1.47</v>
      </c>
      <c r="D843" cm="1">
        <f t="array" ref="D843">INDEX($J$359:$J$408, 867 - ROW() + 1)</f>
        <v>1.22</v>
      </c>
      <c r="E843" cm="1">
        <f t="array" ref="E843">INDEX($J$308:$J$357, 867 - ROW() + 1)</f>
        <v>1.05</v>
      </c>
      <c r="F843" cm="1">
        <f t="array" ref="F843">INDEX($J$257:$J$306, 867 - ROW() + 1)</f>
        <v>0.83</v>
      </c>
      <c r="G843" s="2"/>
      <c r="H843">
        <v>66</v>
      </c>
    </row>
    <row r="844" spans="1:8" x14ac:dyDescent="0.35">
      <c r="A844">
        <v>77</v>
      </c>
      <c r="B844" cm="1">
        <f t="array" ref="B844">INDEX($J$461:$J$510, 867 - ROW() + 1)</f>
        <v>1.83</v>
      </c>
      <c r="C844" cm="1">
        <f t="array" ref="C844">INDEX($J$410:$J$459, 867 - ROW() + 1)</f>
        <v>1.2</v>
      </c>
      <c r="D844" cm="1">
        <f t="array" ref="D844">INDEX($J$359:$J$408, 867 - ROW() + 1)</f>
        <v>1</v>
      </c>
      <c r="E844" cm="1">
        <f t="array" ref="E844">INDEX($J$308:$J$357, 867 - ROW() + 1)</f>
        <v>0.86</v>
      </c>
      <c r="F844" cm="1">
        <f t="array" ref="F844">INDEX($J$257:$J$306, 867 - ROW() + 1)</f>
        <v>0.75</v>
      </c>
      <c r="G844" s="2"/>
      <c r="H844">
        <v>67</v>
      </c>
    </row>
    <row r="845" spans="1:8" x14ac:dyDescent="0.35">
      <c r="A845">
        <v>78</v>
      </c>
      <c r="B845" cm="1">
        <f t="array" ref="B845">INDEX($J$461:$J$510, 867 - ROW() + 1)</f>
        <v>2</v>
      </c>
      <c r="C845" cm="1">
        <f t="array" ref="C845">INDEX($J$410:$J$459, 867 - ROW() + 1)</f>
        <v>1.47</v>
      </c>
      <c r="D845" cm="1">
        <f t="array" ref="D845">INDEX($J$359:$J$408, 867 - ROW() + 1)</f>
        <v>1.1100000000000001</v>
      </c>
      <c r="E845" cm="1">
        <f t="array" ref="E845">INDEX($J$308:$J$357, 867 - ROW() + 1)</f>
        <v>0.76</v>
      </c>
      <c r="F845" cm="1">
        <f t="array" ref="F845">INDEX($J$257:$J$306, 867 - ROW() + 1)</f>
        <v>0.75</v>
      </c>
      <c r="G845" s="2"/>
      <c r="H845">
        <v>68</v>
      </c>
    </row>
    <row r="846" spans="1:8" x14ac:dyDescent="0.35">
      <c r="A846">
        <v>79</v>
      </c>
      <c r="B846" cm="1">
        <f t="array" ref="B846">INDEX($J$461:$J$510, 867 - ROW() + 1)</f>
        <v>2.33</v>
      </c>
      <c r="C846" cm="1">
        <f t="array" ref="C846">INDEX($J$410:$J$459, 867 - ROW() + 1)</f>
        <v>1.6</v>
      </c>
      <c r="D846" cm="1">
        <f t="array" ref="D846">INDEX($J$359:$J$408, 867 - ROW() + 1)</f>
        <v>1.1100000000000001</v>
      </c>
      <c r="E846" cm="1">
        <f t="array" ref="E846">INDEX($J$308:$J$357, 867 - ROW() + 1)</f>
        <v>0.86</v>
      </c>
      <c r="F846" cm="1">
        <f t="array" ref="F846">INDEX($J$257:$J$306, 867 - ROW() + 1)</f>
        <v>0.75</v>
      </c>
      <c r="G846" s="2"/>
      <c r="H846">
        <v>69</v>
      </c>
    </row>
    <row r="847" spans="1:8" x14ac:dyDescent="0.35">
      <c r="A847">
        <v>80</v>
      </c>
      <c r="B847" cm="1">
        <f t="array" ref="B847">INDEX($J$461:$J$510, 867 - ROW() + 1)</f>
        <v>2.17</v>
      </c>
      <c r="C847" cm="1">
        <f t="array" ref="C847">INDEX($J$410:$J$459, 867 - ROW() + 1)</f>
        <v>1.47</v>
      </c>
      <c r="D847" cm="1">
        <f t="array" ref="D847">INDEX($J$359:$J$408, 867 - ROW() + 1)</f>
        <v>1.1100000000000001</v>
      </c>
      <c r="E847" cm="1">
        <f t="array" ref="E847">INDEX($J$308:$J$357, 867 - ROW() + 1)</f>
        <v>1.05</v>
      </c>
      <c r="F847" cm="1">
        <f t="array" ref="F847">INDEX($J$257:$J$306, 867 - ROW() + 1)</f>
        <v>0.67</v>
      </c>
      <c r="G847" s="2"/>
      <c r="H847">
        <v>70</v>
      </c>
    </row>
    <row r="848" spans="1:8" x14ac:dyDescent="0.35">
      <c r="A848">
        <v>81</v>
      </c>
      <c r="B848" cm="1">
        <f t="array" ref="B848">INDEX($J$461:$J$510, 867 - ROW() + 1)</f>
        <v>1.67</v>
      </c>
      <c r="C848" cm="1">
        <f t="array" ref="C848">INDEX($J$410:$J$459, 867 - ROW() + 1)</f>
        <v>1.47</v>
      </c>
      <c r="D848" cm="1">
        <f t="array" ref="D848">INDEX($J$359:$J$408, 867 - ROW() + 1)</f>
        <v>1</v>
      </c>
      <c r="E848" cm="1">
        <f t="array" ref="E848">INDEX($J$308:$J$357, 867 - ROW() + 1)</f>
        <v>0.76</v>
      </c>
      <c r="F848" cm="1">
        <f t="array" ref="F848">INDEX($J$257:$J$306, 867 - ROW() + 1)</f>
        <v>0.67</v>
      </c>
      <c r="G848" s="2"/>
      <c r="H848">
        <v>71</v>
      </c>
    </row>
    <row r="849" spans="1:8" x14ac:dyDescent="0.35">
      <c r="A849">
        <v>82</v>
      </c>
      <c r="B849" cm="1">
        <f t="array" ref="B849">INDEX($J$461:$J$510, 867 - ROW() + 1)</f>
        <v>1.83</v>
      </c>
      <c r="C849" cm="1">
        <f t="array" ref="C849">INDEX($J$410:$J$459, 867 - ROW() + 1)</f>
        <v>1.47</v>
      </c>
      <c r="D849" cm="1">
        <f t="array" ref="D849">INDEX($J$359:$J$408, 867 - ROW() + 1)</f>
        <v>1.1100000000000001</v>
      </c>
      <c r="E849" cm="1">
        <f t="array" ref="E849">INDEX($J$308:$J$357, 867 - ROW() + 1)</f>
        <v>1.1399999999999999</v>
      </c>
      <c r="F849" cm="1">
        <f t="array" ref="F849">INDEX($J$257:$J$306, 867 - ROW() + 1)</f>
        <v>0.83</v>
      </c>
      <c r="G849" s="2"/>
      <c r="H849">
        <v>72</v>
      </c>
    </row>
    <row r="850" spans="1:8" x14ac:dyDescent="0.35">
      <c r="A850">
        <v>83</v>
      </c>
      <c r="B850" cm="1">
        <f t="array" ref="B850">INDEX($J$461:$J$510, 867 - ROW() + 1)</f>
        <v>1.83</v>
      </c>
      <c r="C850" cm="1">
        <f t="array" ref="C850">INDEX($J$410:$J$459, 867 - ROW() + 1)</f>
        <v>1.47</v>
      </c>
      <c r="D850" cm="1">
        <f t="array" ref="D850">INDEX($J$359:$J$408, 867 - ROW() + 1)</f>
        <v>1.1100000000000001</v>
      </c>
      <c r="E850" cm="1">
        <f t="array" ref="E850">INDEX($J$308:$J$357, 867 - ROW() + 1)</f>
        <v>0.76</v>
      </c>
      <c r="F850" cm="1">
        <f t="array" ref="F850">INDEX($J$257:$J$306, 867 - ROW() + 1)</f>
        <v>0.75</v>
      </c>
      <c r="G850" s="2"/>
      <c r="H850">
        <v>73</v>
      </c>
    </row>
    <row r="851" spans="1:8" x14ac:dyDescent="0.35">
      <c r="A851">
        <v>84</v>
      </c>
      <c r="B851" cm="1">
        <f t="array" ref="B851">INDEX($J$461:$J$510, 867 - ROW() + 1)</f>
        <v>2</v>
      </c>
      <c r="C851" cm="1">
        <f t="array" ref="C851">INDEX($J$410:$J$459, 867 - ROW() + 1)</f>
        <v>1.6</v>
      </c>
      <c r="D851" cm="1">
        <f t="array" ref="D851">INDEX($J$359:$J$408, 867 - ROW() + 1)</f>
        <v>1.22</v>
      </c>
      <c r="E851" cm="1">
        <f t="array" ref="E851">INDEX($J$308:$J$357, 867 - ROW() + 1)</f>
        <v>1.1399999999999999</v>
      </c>
      <c r="F851" cm="1">
        <f t="array" ref="F851">INDEX($J$257:$J$306, 867 - ROW() + 1)</f>
        <v>0.67</v>
      </c>
      <c r="G851" s="2"/>
      <c r="H851">
        <v>74</v>
      </c>
    </row>
    <row r="852" spans="1:8" x14ac:dyDescent="0.35">
      <c r="A852">
        <v>85</v>
      </c>
      <c r="B852" cm="1">
        <f t="array" ref="B852">INDEX($J$461:$J$510, 867 - ROW() + 1)</f>
        <v>1.67</v>
      </c>
      <c r="C852" cm="1">
        <f t="array" ref="C852">INDEX($J$410:$J$459, 867 - ROW() + 1)</f>
        <v>1.47</v>
      </c>
      <c r="D852" cm="1">
        <f t="array" ref="D852">INDEX($J$359:$J$408, 867 - ROW() + 1)</f>
        <v>1</v>
      </c>
      <c r="E852" cm="1">
        <f t="array" ref="E852">INDEX($J$308:$J$357, 867 - ROW() + 1)</f>
        <v>0.86</v>
      </c>
      <c r="F852" cm="1">
        <f t="array" ref="F852">INDEX($J$257:$J$306, 867 - ROW() + 1)</f>
        <v>0.75</v>
      </c>
      <c r="G852" s="2"/>
      <c r="H852">
        <v>75</v>
      </c>
    </row>
    <row r="853" spans="1:8" x14ac:dyDescent="0.35">
      <c r="A853">
        <v>86</v>
      </c>
      <c r="B853" cm="1">
        <f t="array" ref="B853">INDEX($J$461:$J$510, 867 - ROW() + 1)</f>
        <v>2.33</v>
      </c>
      <c r="C853" cm="1">
        <f t="array" ref="C853">INDEX($J$410:$J$459, 867 - ROW() + 1)</f>
        <v>1.47</v>
      </c>
      <c r="D853" cm="1">
        <f t="array" ref="D853">INDEX($J$359:$J$408, 867 - ROW() + 1)</f>
        <v>1.1100000000000001</v>
      </c>
      <c r="E853" cm="1">
        <f t="array" ref="E853">INDEX($J$308:$J$357, 867 - ROW() + 1)</f>
        <v>1.1399999999999999</v>
      </c>
      <c r="F853" cm="1">
        <f t="array" ref="F853">INDEX($J$257:$J$306, 867 - ROW() + 1)</f>
        <v>0.67</v>
      </c>
      <c r="G853" s="2"/>
      <c r="H853">
        <v>76</v>
      </c>
    </row>
    <row r="854" spans="1:8" x14ac:dyDescent="0.35">
      <c r="A854">
        <v>87</v>
      </c>
      <c r="B854" cm="1">
        <f t="array" ref="B854">INDEX($J$461:$J$510, 867 - ROW() + 1)</f>
        <v>1.83</v>
      </c>
      <c r="C854" cm="1">
        <f t="array" ref="C854">INDEX($J$410:$J$459, 867 - ROW() + 1)</f>
        <v>1.47</v>
      </c>
      <c r="D854" cm="1">
        <f t="array" ref="D854">INDEX($J$359:$J$408, 867 - ROW() + 1)</f>
        <v>1.22</v>
      </c>
      <c r="E854" cm="1">
        <f t="array" ref="E854">INDEX($J$308:$J$357, 867 - ROW() + 1)</f>
        <v>0.95</v>
      </c>
      <c r="F854" cm="1">
        <f t="array" ref="F854">INDEX($J$257:$J$306, 867 - ROW() + 1)</f>
        <v>0.67</v>
      </c>
      <c r="G854" s="2"/>
      <c r="H854">
        <v>77</v>
      </c>
    </row>
    <row r="855" spans="1:8" x14ac:dyDescent="0.35">
      <c r="A855">
        <v>88</v>
      </c>
      <c r="B855" cm="1">
        <f t="array" ref="B855">INDEX($J$461:$J$510, 867 - ROW() + 1)</f>
        <v>2</v>
      </c>
      <c r="C855" cm="1">
        <f t="array" ref="C855">INDEX($J$410:$J$459, 867 - ROW() + 1)</f>
        <v>1.47</v>
      </c>
      <c r="D855" cm="1">
        <f t="array" ref="D855">INDEX($J$359:$J$408, 867 - ROW() + 1)</f>
        <v>1.1100000000000001</v>
      </c>
      <c r="E855" cm="1">
        <f t="array" ref="E855">INDEX($J$308:$J$357, 867 - ROW() + 1)</f>
        <v>0.86</v>
      </c>
      <c r="F855" cm="1">
        <f t="array" ref="F855">INDEX($J$257:$J$306, 867 - ROW() + 1)</f>
        <v>0.75</v>
      </c>
      <c r="G855" s="2"/>
      <c r="H855">
        <v>78</v>
      </c>
    </row>
    <row r="856" spans="1:8" x14ac:dyDescent="0.35">
      <c r="A856">
        <v>89</v>
      </c>
      <c r="B856" cm="1">
        <f t="array" ref="B856">INDEX($J$461:$J$510, 867 - ROW() + 1)</f>
        <v>2.33</v>
      </c>
      <c r="C856" cm="1">
        <f t="array" ref="C856">INDEX($J$410:$J$459, 867 - ROW() + 1)</f>
        <v>1.73</v>
      </c>
      <c r="D856" cm="1">
        <f t="array" ref="D856">INDEX($J$359:$J$408, 867 - ROW() + 1)</f>
        <v>1.1100000000000001</v>
      </c>
      <c r="E856" cm="1">
        <f t="array" ref="E856">INDEX($J$308:$J$357, 867 - ROW() + 1)</f>
        <v>0.86</v>
      </c>
      <c r="F856" cm="1">
        <f t="array" ref="F856">INDEX($J$257:$J$306, 867 - ROW() + 1)</f>
        <v>0.92</v>
      </c>
      <c r="G856" s="2"/>
      <c r="H856">
        <v>79</v>
      </c>
    </row>
    <row r="857" spans="1:8" x14ac:dyDescent="0.35">
      <c r="A857">
        <v>90</v>
      </c>
      <c r="B857" cm="1">
        <f t="array" ref="B857">INDEX($J$461:$J$510, 867 - ROW() + 1)</f>
        <v>2.33</v>
      </c>
      <c r="C857" cm="1">
        <f t="array" ref="C857">INDEX($J$410:$J$459, 867 - ROW() + 1)</f>
        <v>1.6</v>
      </c>
      <c r="D857" cm="1">
        <f t="array" ref="D857">INDEX($J$359:$J$408, 867 - ROW() + 1)</f>
        <v>1.1100000000000001</v>
      </c>
      <c r="E857" cm="1">
        <f t="array" ref="E857">INDEX($J$308:$J$357, 867 - ROW() + 1)</f>
        <v>0.95</v>
      </c>
      <c r="F857" cm="1">
        <f t="array" ref="F857">INDEX($J$257:$J$306, 867 - ROW() + 1)</f>
        <v>0.5</v>
      </c>
      <c r="G857" s="2"/>
      <c r="H857">
        <v>80</v>
      </c>
    </row>
    <row r="858" spans="1:8" x14ac:dyDescent="0.35">
      <c r="A858">
        <v>91</v>
      </c>
      <c r="B858" cm="1">
        <f t="array" ref="B858">INDEX($J$461:$J$510, 867 - ROW() + 1)</f>
        <v>2</v>
      </c>
      <c r="C858" cm="1">
        <f t="array" ref="C858">INDEX($J$410:$J$459, 867 - ROW() + 1)</f>
        <v>1.2</v>
      </c>
      <c r="D858" cm="1">
        <f t="array" ref="D858">INDEX($J$359:$J$408, 867 - ROW() + 1)</f>
        <v>0.89</v>
      </c>
      <c r="E858" cm="1">
        <f t="array" ref="E858">INDEX($J$308:$J$357, 867 - ROW() + 1)</f>
        <v>1.1399999999999999</v>
      </c>
      <c r="F858" cm="1">
        <f t="array" ref="F858">INDEX($J$257:$J$306, 867 - ROW() + 1)</f>
        <v>0.75</v>
      </c>
      <c r="G858" s="2"/>
      <c r="H858">
        <v>81</v>
      </c>
    </row>
    <row r="859" spans="1:8" x14ac:dyDescent="0.35">
      <c r="A859">
        <v>92</v>
      </c>
      <c r="B859" cm="1">
        <f t="array" ref="B859">INDEX($J$461:$J$510, 867 - ROW() + 1)</f>
        <v>1.83</v>
      </c>
      <c r="C859" cm="1">
        <f t="array" ref="C859">INDEX($J$410:$J$459, 867 - ROW() + 1)</f>
        <v>1.47</v>
      </c>
      <c r="D859" cm="1">
        <f t="array" ref="D859">INDEX($J$359:$J$408, 867 - ROW() + 1)</f>
        <v>1.33</v>
      </c>
      <c r="E859" cm="1">
        <f t="array" ref="E859">INDEX($J$308:$J$357, 867 - ROW() + 1)</f>
        <v>0.76</v>
      </c>
      <c r="F859" cm="1">
        <f t="array" ref="F859">INDEX($J$257:$J$306, 867 - ROW() + 1)</f>
        <v>0.67</v>
      </c>
      <c r="G859" s="2"/>
      <c r="H859">
        <v>82</v>
      </c>
    </row>
    <row r="860" spans="1:8" x14ac:dyDescent="0.35">
      <c r="A860">
        <v>93</v>
      </c>
      <c r="B860" cm="1">
        <f t="array" ref="B860">INDEX($J$461:$J$510, 867 - ROW() + 1)</f>
        <v>2</v>
      </c>
      <c r="C860" cm="1">
        <f t="array" ref="C860">INDEX($J$410:$J$459, 867 - ROW() + 1)</f>
        <v>1.33</v>
      </c>
      <c r="D860" cm="1">
        <f t="array" ref="D860">INDEX($J$359:$J$408, 867 - ROW() + 1)</f>
        <v>1.1100000000000001</v>
      </c>
      <c r="E860" cm="1">
        <f t="array" ref="E860">INDEX($J$308:$J$357, 867 - ROW() + 1)</f>
        <v>1.05</v>
      </c>
      <c r="F860" cm="1">
        <f t="array" ref="F860">INDEX($J$257:$J$306, 867 - ROW() + 1)</f>
        <v>0.92</v>
      </c>
      <c r="G860" s="2"/>
      <c r="H860">
        <v>83</v>
      </c>
    </row>
    <row r="861" spans="1:8" x14ac:dyDescent="0.35">
      <c r="A861">
        <v>94</v>
      </c>
      <c r="B861" cm="1">
        <f t="array" ref="B861">INDEX($J$461:$J$510, 867 - ROW() + 1)</f>
        <v>2</v>
      </c>
      <c r="C861" cm="1">
        <f t="array" ref="C861">INDEX($J$410:$J$459, 867 - ROW() + 1)</f>
        <v>1.33</v>
      </c>
      <c r="D861" cm="1">
        <f t="array" ref="D861">INDEX($J$359:$J$408, 867 - ROW() + 1)</f>
        <v>1.22</v>
      </c>
      <c r="E861" cm="1">
        <f t="array" ref="E861">INDEX($J$308:$J$357, 867 - ROW() + 1)</f>
        <v>1.05</v>
      </c>
      <c r="F861" cm="1">
        <f t="array" ref="F861">INDEX($J$257:$J$306, 867 - ROW() + 1)</f>
        <v>0.57999999999999996</v>
      </c>
      <c r="G861" s="2"/>
      <c r="H861">
        <v>84</v>
      </c>
    </row>
    <row r="862" spans="1:8" x14ac:dyDescent="0.35">
      <c r="A862">
        <v>95</v>
      </c>
      <c r="B862" cm="1">
        <f t="array" ref="B862">INDEX($J$461:$J$510, 867 - ROW() + 1)</f>
        <v>2</v>
      </c>
      <c r="C862" cm="1">
        <f t="array" ref="C862">INDEX($J$410:$J$459, 867 - ROW() + 1)</f>
        <v>1.47</v>
      </c>
      <c r="D862" cm="1">
        <f t="array" ref="D862">INDEX($J$359:$J$408, 867 - ROW() + 1)</f>
        <v>1.1100000000000001</v>
      </c>
      <c r="E862" cm="1">
        <f t="array" ref="E862">INDEX($J$308:$J$357, 867 - ROW() + 1)</f>
        <v>1.05</v>
      </c>
      <c r="F862" cm="1">
        <f t="array" ref="F862">INDEX($J$257:$J$306, 867 - ROW() + 1)</f>
        <v>0.75</v>
      </c>
      <c r="G862" s="2"/>
      <c r="H862">
        <v>85</v>
      </c>
    </row>
    <row r="863" spans="1:8" x14ac:dyDescent="0.35">
      <c r="A863">
        <v>96</v>
      </c>
      <c r="B863" cm="1">
        <f t="array" ref="B863">INDEX($J$461:$J$510, 867 - ROW() + 1)</f>
        <v>1.83</v>
      </c>
      <c r="C863" cm="1">
        <f t="array" ref="C863">INDEX($J$410:$J$459, 867 - ROW() + 1)</f>
        <v>1.6</v>
      </c>
      <c r="D863" cm="1">
        <f t="array" ref="D863">INDEX($J$359:$J$408, 867 - ROW() + 1)</f>
        <v>1.1100000000000001</v>
      </c>
      <c r="E863" cm="1">
        <f t="array" ref="E863">INDEX($J$308:$J$357, 867 - ROW() + 1)</f>
        <v>0.86</v>
      </c>
      <c r="F863" cm="1">
        <f t="array" ref="F863">INDEX($J$257:$J$306, 867 - ROW() + 1)</f>
        <v>0.83</v>
      </c>
      <c r="G863" s="2"/>
      <c r="H863">
        <v>86</v>
      </c>
    </row>
    <row r="864" spans="1:8" x14ac:dyDescent="0.35">
      <c r="A864">
        <v>97</v>
      </c>
      <c r="B864" cm="1">
        <f t="array" ref="B864">INDEX($J$461:$J$510, 867 - ROW() + 1)</f>
        <v>2</v>
      </c>
      <c r="C864" cm="1">
        <f t="array" ref="C864">INDEX($J$410:$J$459, 867 - ROW() + 1)</f>
        <v>1.2</v>
      </c>
      <c r="D864" cm="1">
        <f t="array" ref="D864">INDEX($J$359:$J$408, 867 - ROW() + 1)</f>
        <v>1</v>
      </c>
      <c r="E864" cm="1">
        <f t="array" ref="E864">INDEX($J$308:$J$357, 867 - ROW() + 1)</f>
        <v>0.76</v>
      </c>
      <c r="F864" cm="1">
        <f t="array" ref="F864">INDEX($J$257:$J$306, 867 - ROW() + 1)</f>
        <v>0.67</v>
      </c>
      <c r="G864" s="2"/>
      <c r="H864">
        <v>87</v>
      </c>
    </row>
    <row r="865" spans="1:8" x14ac:dyDescent="0.35">
      <c r="A865">
        <v>98</v>
      </c>
      <c r="B865" cm="1">
        <f t="array" ref="B865">INDEX($J$461:$J$510, 867 - ROW() + 1)</f>
        <v>1.83</v>
      </c>
      <c r="C865" cm="1">
        <f t="array" ref="C865">INDEX($J$410:$J$459, 867 - ROW() + 1)</f>
        <v>1.33</v>
      </c>
      <c r="D865" cm="1">
        <f t="array" ref="D865">INDEX($J$359:$J$408, 867 - ROW() + 1)</f>
        <v>1.22</v>
      </c>
      <c r="E865" cm="1">
        <f t="array" ref="E865">INDEX($J$308:$J$357, 867 - ROW() + 1)</f>
        <v>0.76</v>
      </c>
      <c r="F865" cm="1">
        <f t="array" ref="F865">INDEX($J$257:$J$306, 867 - ROW() + 1)</f>
        <v>0.83</v>
      </c>
      <c r="G865" s="2"/>
      <c r="H865">
        <v>88</v>
      </c>
    </row>
    <row r="866" spans="1:8" x14ac:dyDescent="0.35">
      <c r="A866">
        <v>99</v>
      </c>
      <c r="B866" cm="1">
        <f t="array" ref="B866">INDEX($J$461:$J$510, 867 - ROW() + 1)</f>
        <v>2.17</v>
      </c>
      <c r="C866" cm="1">
        <f t="array" ref="C866">INDEX($J$410:$J$459, 867 - ROW() + 1)</f>
        <v>1.47</v>
      </c>
      <c r="D866" cm="1">
        <f t="array" ref="D866">INDEX($J$359:$J$408, 867 - ROW() + 1)</f>
        <v>1.33</v>
      </c>
      <c r="E866" cm="1">
        <f t="array" ref="E866">INDEX($J$308:$J$357, 867 - ROW() + 1)</f>
        <v>0.95</v>
      </c>
      <c r="F866" cm="1">
        <f t="array" ref="F866">INDEX($J$257:$J$306, 867 - ROW() + 1)</f>
        <v>0.83</v>
      </c>
      <c r="G866" s="2"/>
      <c r="H866">
        <v>89</v>
      </c>
    </row>
    <row r="867" spans="1:8" x14ac:dyDescent="0.35">
      <c r="A867">
        <v>100</v>
      </c>
      <c r="B867" cm="1">
        <f t="array" ref="B867">INDEX($J$461:$J$510, 867 - ROW() + 1)</f>
        <v>1.83</v>
      </c>
      <c r="C867" cm="1">
        <f t="array" ref="C867">INDEX($J$410:$J$459, 867 - ROW() + 1)</f>
        <v>1.47</v>
      </c>
      <c r="D867" cm="1">
        <f t="array" ref="D867">INDEX($J$359:$J$408, 867 - ROW() + 1)</f>
        <v>1.22</v>
      </c>
      <c r="E867" cm="1">
        <f t="array" ref="E867">INDEX($J$308:$J$357, 867 - ROW() + 1)</f>
        <v>1.05</v>
      </c>
      <c r="F867" cm="1">
        <f t="array" ref="F867">INDEX($J$257:$J$306, 867 - ROW() + 1)</f>
        <v>0.67</v>
      </c>
      <c r="G867" s="2"/>
      <c r="H867">
        <v>90</v>
      </c>
    </row>
    <row r="868" spans="1:8" x14ac:dyDescent="0.35">
      <c r="A868">
        <v>101</v>
      </c>
      <c r="B868" cm="1">
        <f t="array" ref="B868">INDEX($J$206:$J$255, 917 - ROW() + 1)</f>
        <v>2.5</v>
      </c>
      <c r="C868" cm="1">
        <f t="array" ref="C868">INDEX($J$155:$J$204, 917 - ROW() + 1)</f>
        <v>1.87</v>
      </c>
      <c r="D868" cm="1">
        <f t="array" ref="D868">INDEX($J$104:$J$153, 917 - ROW() + 1)</f>
        <v>1.67</v>
      </c>
      <c r="E868" cm="1">
        <f t="array" ref="E868">INDEX($J$53:$J$102, 917 - ROW() + 1)</f>
        <v>0.86</v>
      </c>
      <c r="F868" cm="1">
        <f t="array" ref="F868">INDEX($J$2:$J$51, 917 - ROW() + 1)</f>
        <v>1</v>
      </c>
      <c r="G868" s="2"/>
      <c r="H868">
        <v>91</v>
      </c>
    </row>
    <row r="869" spans="1:8" x14ac:dyDescent="0.35">
      <c r="A869">
        <v>102</v>
      </c>
      <c r="B869" cm="1">
        <f t="array" ref="B869">INDEX($J$206:$J$255, 917 - ROW() + 1)</f>
        <v>2.17</v>
      </c>
      <c r="C869" cm="1">
        <f t="array" ref="C869">INDEX($J$155:$J$204, 917 - ROW() + 1)</f>
        <v>1.73</v>
      </c>
      <c r="D869" cm="1">
        <f t="array" ref="D869">INDEX($J$104:$J$153, 917 - ROW() + 1)</f>
        <v>1.33</v>
      </c>
      <c r="E869" cm="1">
        <f t="array" ref="E869">INDEX($J$53:$J$102, 917 - ROW() + 1)</f>
        <v>0.86</v>
      </c>
      <c r="F869" cm="1">
        <f t="array" ref="F869">INDEX($J$2:$J$51, 917 - ROW() + 1)</f>
        <v>0.67</v>
      </c>
      <c r="G869" s="2"/>
      <c r="H869">
        <v>92</v>
      </c>
    </row>
    <row r="870" spans="1:8" x14ac:dyDescent="0.35">
      <c r="A870">
        <v>103</v>
      </c>
      <c r="B870" cm="1">
        <f t="array" ref="B870">INDEX($J$206:$J$255, 917 - ROW() + 1)</f>
        <v>2.5</v>
      </c>
      <c r="C870" cm="1">
        <f t="array" ref="C870">INDEX($J$155:$J$204, 917 - ROW() + 1)</f>
        <v>1.73</v>
      </c>
      <c r="D870" cm="1">
        <f t="array" ref="D870">INDEX($J$104:$J$153, 917 - ROW() + 1)</f>
        <v>1.22</v>
      </c>
      <c r="E870" cm="1">
        <f t="array" ref="E870">INDEX($J$53:$J$102, 917 - ROW() + 1)</f>
        <v>1.05</v>
      </c>
      <c r="F870" cm="1">
        <f t="array" ref="F870">INDEX($J$2:$J$51, 917 - ROW() + 1)</f>
        <v>0.75</v>
      </c>
      <c r="G870" s="2"/>
      <c r="H870">
        <v>93</v>
      </c>
    </row>
    <row r="871" spans="1:8" x14ac:dyDescent="0.35">
      <c r="A871">
        <v>104</v>
      </c>
      <c r="B871" cm="1">
        <f t="array" ref="B871">INDEX($J$206:$J$255, 917 - ROW() + 1)</f>
        <v>2.33</v>
      </c>
      <c r="C871" cm="1">
        <f t="array" ref="C871">INDEX($J$155:$J$204, 917 - ROW() + 1)</f>
        <v>1.6</v>
      </c>
      <c r="D871" cm="1">
        <f t="array" ref="D871">INDEX($J$104:$J$153, 917 - ROW() + 1)</f>
        <v>1.22</v>
      </c>
      <c r="E871" cm="1">
        <f t="array" ref="E871">INDEX($J$53:$J$102, 917 - ROW() + 1)</f>
        <v>1.1399999999999999</v>
      </c>
      <c r="F871" cm="1">
        <f t="array" ref="F871">INDEX($J$2:$J$51, 917 - ROW() + 1)</f>
        <v>0.83</v>
      </c>
      <c r="G871" s="2"/>
      <c r="H871">
        <v>94</v>
      </c>
    </row>
    <row r="872" spans="1:8" x14ac:dyDescent="0.35">
      <c r="A872">
        <v>105</v>
      </c>
      <c r="B872" cm="1">
        <f t="array" ref="B872">INDEX($J$206:$J$255, 917 - ROW() + 1)</f>
        <v>2.17</v>
      </c>
      <c r="C872" cm="1">
        <f t="array" ref="C872">INDEX($J$155:$J$204, 917 - ROW() + 1)</f>
        <v>2</v>
      </c>
      <c r="D872" cm="1">
        <f t="array" ref="D872">INDEX($J$104:$J$153, 917 - ROW() + 1)</f>
        <v>1.56</v>
      </c>
      <c r="E872" cm="1">
        <f t="array" ref="E872">INDEX($J$53:$J$102, 917 - ROW() + 1)</f>
        <v>1.05</v>
      </c>
      <c r="F872" cm="1">
        <f t="array" ref="F872">INDEX($J$2:$J$51, 917 - ROW() + 1)</f>
        <v>0.92</v>
      </c>
      <c r="G872" s="2"/>
      <c r="H872">
        <v>95</v>
      </c>
    </row>
    <row r="873" spans="1:8" x14ac:dyDescent="0.35">
      <c r="A873">
        <v>106</v>
      </c>
      <c r="B873" cm="1">
        <f t="array" ref="B873">INDEX($J$206:$J$255, 917 - ROW() + 1)</f>
        <v>2.17</v>
      </c>
      <c r="C873" cm="1">
        <f t="array" ref="C873">INDEX($J$155:$J$204, 917 - ROW() + 1)</f>
        <v>1.87</v>
      </c>
      <c r="D873" cm="1">
        <f t="array" ref="D873">INDEX($J$104:$J$153, 917 - ROW() + 1)</f>
        <v>1.22</v>
      </c>
      <c r="E873" cm="1">
        <f t="array" ref="E873">INDEX($J$53:$J$102, 917 - ROW() + 1)</f>
        <v>1.05</v>
      </c>
      <c r="F873" cm="1">
        <f t="array" ref="F873">INDEX($J$2:$J$51, 917 - ROW() + 1)</f>
        <v>0.75</v>
      </c>
      <c r="G873" s="2"/>
      <c r="H873">
        <v>96</v>
      </c>
    </row>
    <row r="874" spans="1:8" x14ac:dyDescent="0.35">
      <c r="A874">
        <v>107</v>
      </c>
      <c r="B874" cm="1">
        <f t="array" ref="B874">INDEX($J$206:$J$255, 917 - ROW() + 1)</f>
        <v>2.17</v>
      </c>
      <c r="C874" cm="1">
        <f t="array" ref="C874">INDEX($J$155:$J$204, 917 - ROW() + 1)</f>
        <v>2</v>
      </c>
      <c r="D874" cm="1">
        <f t="array" ref="D874">INDEX($J$104:$J$153, 917 - ROW() + 1)</f>
        <v>1.33</v>
      </c>
      <c r="E874" cm="1">
        <f t="array" ref="E874">INDEX($J$53:$J$102, 917 - ROW() + 1)</f>
        <v>0.86</v>
      </c>
      <c r="F874" cm="1">
        <f t="array" ref="F874">INDEX($J$2:$J$51, 917 - ROW() + 1)</f>
        <v>0.83</v>
      </c>
      <c r="G874" s="2"/>
      <c r="H874">
        <v>97</v>
      </c>
    </row>
    <row r="875" spans="1:8" x14ac:dyDescent="0.35">
      <c r="A875">
        <v>108</v>
      </c>
      <c r="B875" cm="1">
        <f t="array" ref="B875">INDEX($J$206:$J$255, 917 - ROW() + 1)</f>
        <v>2.33</v>
      </c>
      <c r="C875" cm="1">
        <f t="array" ref="C875">INDEX($J$155:$J$204, 917 - ROW() + 1)</f>
        <v>1.73</v>
      </c>
      <c r="D875" cm="1">
        <f t="array" ref="D875">INDEX($J$104:$J$153, 917 - ROW() + 1)</f>
        <v>1.44</v>
      </c>
      <c r="E875" cm="1">
        <f t="array" ref="E875">INDEX($J$53:$J$102, 917 - ROW() + 1)</f>
        <v>1.1399999999999999</v>
      </c>
      <c r="F875" cm="1">
        <f t="array" ref="F875">INDEX($J$2:$J$51, 917 - ROW() + 1)</f>
        <v>0.83</v>
      </c>
      <c r="G875" s="2"/>
      <c r="H875">
        <v>98</v>
      </c>
    </row>
    <row r="876" spans="1:8" x14ac:dyDescent="0.35">
      <c r="A876">
        <v>109</v>
      </c>
      <c r="B876" cm="1">
        <f t="array" ref="B876">INDEX($J$206:$J$255, 917 - ROW() + 1)</f>
        <v>2.33</v>
      </c>
      <c r="C876" cm="1">
        <f t="array" ref="C876">INDEX($J$155:$J$204, 917 - ROW() + 1)</f>
        <v>1.87</v>
      </c>
      <c r="D876" cm="1">
        <f t="array" ref="D876">INDEX($J$104:$J$153, 917 - ROW() + 1)</f>
        <v>1.44</v>
      </c>
      <c r="E876" cm="1">
        <f t="array" ref="E876">INDEX($J$53:$J$102, 917 - ROW() + 1)</f>
        <v>0.95</v>
      </c>
      <c r="F876" cm="1">
        <f t="array" ref="F876">INDEX($J$2:$J$51, 917 - ROW() + 1)</f>
        <v>0.92</v>
      </c>
      <c r="G876" s="2"/>
      <c r="H876">
        <v>99</v>
      </c>
    </row>
    <row r="877" spans="1:8" x14ac:dyDescent="0.35">
      <c r="A877">
        <v>110</v>
      </c>
      <c r="B877" cm="1">
        <f t="array" ref="B877">INDEX($J$206:$J$255, 917 - ROW() + 1)</f>
        <v>2.17</v>
      </c>
      <c r="C877" cm="1">
        <f t="array" ref="C877">INDEX($J$155:$J$204, 917 - ROW() + 1)</f>
        <v>2</v>
      </c>
      <c r="D877" cm="1">
        <f t="array" ref="D877">INDEX($J$104:$J$153, 917 - ROW() + 1)</f>
        <v>1.22</v>
      </c>
      <c r="E877" cm="1">
        <f t="array" ref="E877">INDEX($J$53:$J$102, 917 - ROW() + 1)</f>
        <v>0.95</v>
      </c>
      <c r="F877" cm="1">
        <f t="array" ref="F877">INDEX($J$2:$J$51, 917 - ROW() + 1)</f>
        <v>0.92</v>
      </c>
      <c r="G877" s="2"/>
      <c r="H877">
        <v>100</v>
      </c>
    </row>
    <row r="878" spans="1:8" x14ac:dyDescent="0.35">
      <c r="A878">
        <v>111</v>
      </c>
      <c r="B878" cm="1">
        <f t="array" ref="B878">INDEX($J$206:$J$255, 917 - ROW() + 1)</f>
        <v>1.83</v>
      </c>
      <c r="C878" cm="1">
        <f t="array" ref="C878">INDEX($J$155:$J$204, 917 - ROW() + 1)</f>
        <v>1.73</v>
      </c>
      <c r="D878" cm="1">
        <f t="array" ref="D878">INDEX($J$104:$J$153, 917 - ROW() + 1)</f>
        <v>1.22</v>
      </c>
      <c r="E878" cm="1">
        <f t="array" ref="E878">INDEX($J$53:$J$102, 917 - ROW() + 1)</f>
        <v>0.76</v>
      </c>
      <c r="F878" cm="1">
        <f t="array" ref="F878">INDEX($J$2:$J$51, 917 - ROW() + 1)</f>
        <v>0.92</v>
      </c>
      <c r="G878" s="2"/>
      <c r="H878">
        <v>101</v>
      </c>
    </row>
    <row r="879" spans="1:8" x14ac:dyDescent="0.35">
      <c r="A879">
        <v>112</v>
      </c>
      <c r="B879" cm="1">
        <f t="array" ref="B879">INDEX($J$206:$J$255, 917 - ROW() + 1)</f>
        <v>2.33</v>
      </c>
      <c r="C879" cm="1">
        <f t="array" ref="C879">INDEX($J$155:$J$204, 917 - ROW() + 1)</f>
        <v>2</v>
      </c>
      <c r="D879" cm="1">
        <f t="array" ref="D879">INDEX($J$104:$J$153, 917 - ROW() + 1)</f>
        <v>1.33</v>
      </c>
      <c r="E879" cm="1">
        <f t="array" ref="E879">INDEX($J$53:$J$102, 917 - ROW() + 1)</f>
        <v>0.95</v>
      </c>
      <c r="F879" cm="1">
        <f t="array" ref="F879">INDEX($J$2:$J$51, 917 - ROW() + 1)</f>
        <v>0.92</v>
      </c>
      <c r="G879" s="2"/>
      <c r="H879">
        <v>102</v>
      </c>
    </row>
    <row r="880" spans="1:8" x14ac:dyDescent="0.35">
      <c r="A880">
        <v>113</v>
      </c>
      <c r="B880" cm="1">
        <f t="array" ref="B880">INDEX($J$206:$J$255, 917 - ROW() + 1)</f>
        <v>2.33</v>
      </c>
      <c r="C880" cm="1">
        <f t="array" ref="C880">INDEX($J$155:$J$204, 917 - ROW() + 1)</f>
        <v>1.6</v>
      </c>
      <c r="D880" cm="1">
        <f t="array" ref="D880">INDEX($J$104:$J$153, 917 - ROW() + 1)</f>
        <v>1.56</v>
      </c>
      <c r="E880" cm="1">
        <f t="array" ref="E880">INDEX($J$53:$J$102, 917 - ROW() + 1)</f>
        <v>0.86</v>
      </c>
      <c r="F880" cm="1">
        <f t="array" ref="F880">INDEX($J$2:$J$51, 917 - ROW() + 1)</f>
        <v>0.75</v>
      </c>
      <c r="G880" s="2"/>
      <c r="H880">
        <v>103</v>
      </c>
    </row>
    <row r="881" spans="1:8" x14ac:dyDescent="0.35">
      <c r="A881">
        <v>114</v>
      </c>
      <c r="B881" cm="1">
        <f t="array" ref="B881">INDEX($J$206:$J$255, 917 - ROW() + 1)</f>
        <v>2.17</v>
      </c>
      <c r="C881" cm="1">
        <f t="array" ref="C881">INDEX($J$155:$J$204, 917 - ROW() + 1)</f>
        <v>1.73</v>
      </c>
      <c r="D881" cm="1">
        <f t="array" ref="D881">INDEX($J$104:$J$153, 917 - ROW() + 1)</f>
        <v>1.44</v>
      </c>
      <c r="E881" cm="1">
        <f t="array" ref="E881">INDEX($J$53:$J$102, 917 - ROW() + 1)</f>
        <v>0.86</v>
      </c>
      <c r="F881" cm="1">
        <f t="array" ref="F881">INDEX($J$2:$J$51, 917 - ROW() + 1)</f>
        <v>0.92</v>
      </c>
      <c r="G881" s="2"/>
      <c r="H881">
        <v>104</v>
      </c>
    </row>
    <row r="882" spans="1:8" x14ac:dyDescent="0.35">
      <c r="A882">
        <v>115</v>
      </c>
      <c r="B882" cm="1">
        <f t="array" ref="B882">INDEX($J$206:$J$255, 917 - ROW() + 1)</f>
        <v>2.17</v>
      </c>
      <c r="C882" cm="1">
        <f t="array" ref="C882">INDEX($J$155:$J$204, 917 - ROW() + 1)</f>
        <v>1.6</v>
      </c>
      <c r="D882" cm="1">
        <f t="array" ref="D882">INDEX($J$104:$J$153, 917 - ROW() + 1)</f>
        <v>1.56</v>
      </c>
      <c r="E882" cm="1">
        <f t="array" ref="E882">INDEX($J$53:$J$102, 917 - ROW() + 1)</f>
        <v>0.95</v>
      </c>
      <c r="F882" cm="1">
        <f t="array" ref="F882">INDEX($J$2:$J$51, 917 - ROW() + 1)</f>
        <v>0.92</v>
      </c>
      <c r="G882" s="2"/>
      <c r="H882">
        <v>105</v>
      </c>
    </row>
    <row r="883" spans="1:8" x14ac:dyDescent="0.35">
      <c r="A883">
        <v>116</v>
      </c>
      <c r="B883" cm="1">
        <f t="array" ref="B883">INDEX($J$206:$J$255, 917 - ROW() + 1)</f>
        <v>2.17</v>
      </c>
      <c r="C883" cm="1">
        <f t="array" ref="C883">INDEX($J$155:$J$204, 917 - ROW() + 1)</f>
        <v>1.6</v>
      </c>
      <c r="D883" cm="1">
        <f t="array" ref="D883">INDEX($J$104:$J$153, 917 - ROW() + 1)</f>
        <v>1.33</v>
      </c>
      <c r="E883" cm="1">
        <f t="array" ref="E883">INDEX($J$53:$J$102, 917 - ROW() + 1)</f>
        <v>1.05</v>
      </c>
      <c r="F883" cm="1">
        <f t="array" ref="F883">INDEX($J$2:$J$51, 917 - ROW() + 1)</f>
        <v>0.92</v>
      </c>
      <c r="G883" s="2"/>
      <c r="H883">
        <v>106</v>
      </c>
    </row>
    <row r="884" spans="1:8" x14ac:dyDescent="0.35">
      <c r="A884">
        <v>117</v>
      </c>
      <c r="B884" cm="1">
        <f t="array" ref="B884">INDEX($J$206:$J$255, 917 - ROW() + 1)</f>
        <v>2.33</v>
      </c>
      <c r="C884" cm="1">
        <f t="array" ref="C884">INDEX($J$155:$J$204, 917 - ROW() + 1)</f>
        <v>1.73</v>
      </c>
      <c r="D884" cm="1">
        <f t="array" ref="D884">INDEX($J$104:$J$153, 917 - ROW() + 1)</f>
        <v>1.33</v>
      </c>
      <c r="E884" cm="1">
        <f t="array" ref="E884">INDEX($J$53:$J$102, 917 - ROW() + 1)</f>
        <v>1.05</v>
      </c>
      <c r="F884" cm="1">
        <f t="array" ref="F884">INDEX($J$2:$J$51, 917 - ROW() + 1)</f>
        <v>0.92</v>
      </c>
      <c r="G884" s="2"/>
      <c r="H884">
        <v>107</v>
      </c>
    </row>
    <row r="885" spans="1:8" x14ac:dyDescent="0.35">
      <c r="A885">
        <v>118</v>
      </c>
      <c r="B885" cm="1">
        <f t="array" ref="B885">INDEX($J$206:$J$255, 917 - ROW() + 1)</f>
        <v>1.83</v>
      </c>
      <c r="C885" cm="1">
        <f t="array" ref="C885">INDEX($J$155:$J$204, 917 - ROW() + 1)</f>
        <v>1.6</v>
      </c>
      <c r="D885" cm="1">
        <f t="array" ref="D885">INDEX($J$104:$J$153, 917 - ROW() + 1)</f>
        <v>1.22</v>
      </c>
      <c r="E885" cm="1">
        <f t="array" ref="E885">INDEX($J$53:$J$102, 917 - ROW() + 1)</f>
        <v>1.05</v>
      </c>
      <c r="F885" cm="1">
        <f t="array" ref="F885">INDEX($J$2:$J$51, 917 - ROW() + 1)</f>
        <v>0.75</v>
      </c>
      <c r="G885" s="2"/>
      <c r="H885">
        <v>108</v>
      </c>
    </row>
    <row r="886" spans="1:8" x14ac:dyDescent="0.35">
      <c r="A886">
        <v>119</v>
      </c>
      <c r="B886" cm="1">
        <f t="array" ref="B886">INDEX($J$206:$J$255, 917 - ROW() + 1)</f>
        <v>2.33</v>
      </c>
      <c r="C886" cm="1">
        <f t="array" ref="C886">INDEX($J$155:$J$204, 917 - ROW() + 1)</f>
        <v>1.87</v>
      </c>
      <c r="D886" cm="1">
        <f t="array" ref="D886">INDEX($J$104:$J$153, 917 - ROW() + 1)</f>
        <v>1.22</v>
      </c>
      <c r="E886" cm="1">
        <f t="array" ref="E886">INDEX($J$53:$J$102, 917 - ROW() + 1)</f>
        <v>0.95</v>
      </c>
      <c r="F886" cm="1">
        <f t="array" ref="F886">INDEX($J$2:$J$51, 917 - ROW() + 1)</f>
        <v>0.75</v>
      </c>
      <c r="G886" s="2"/>
      <c r="H886">
        <v>109</v>
      </c>
    </row>
    <row r="887" spans="1:8" x14ac:dyDescent="0.35">
      <c r="A887">
        <v>120</v>
      </c>
      <c r="B887" cm="1">
        <f t="array" ref="B887">INDEX($J$206:$J$255, 917 - ROW() + 1)</f>
        <v>2.33</v>
      </c>
      <c r="C887" cm="1">
        <f t="array" ref="C887">INDEX($J$155:$J$204, 917 - ROW() + 1)</f>
        <v>1.6</v>
      </c>
      <c r="D887" cm="1">
        <f t="array" ref="D887">INDEX($J$104:$J$153, 917 - ROW() + 1)</f>
        <v>1</v>
      </c>
      <c r="E887" cm="1">
        <f t="array" ref="E887">INDEX($J$53:$J$102, 917 - ROW() + 1)</f>
        <v>1.05</v>
      </c>
      <c r="F887" cm="1">
        <f t="array" ref="F887">INDEX($J$2:$J$51, 917 - ROW() + 1)</f>
        <v>0.83</v>
      </c>
      <c r="G887" s="2"/>
      <c r="H887">
        <v>110</v>
      </c>
    </row>
    <row r="888" spans="1:8" x14ac:dyDescent="0.35">
      <c r="A888">
        <v>121</v>
      </c>
      <c r="B888" cm="1">
        <f t="array" ref="B888">INDEX($J$206:$J$255, 917 - ROW() + 1)</f>
        <v>2.17</v>
      </c>
      <c r="C888" cm="1">
        <f t="array" ref="C888">INDEX($J$155:$J$204, 917 - ROW() + 1)</f>
        <v>1.73</v>
      </c>
      <c r="D888" cm="1">
        <f t="array" ref="D888">INDEX($J$104:$J$153, 917 - ROW() + 1)</f>
        <v>1.33</v>
      </c>
      <c r="E888" cm="1">
        <f t="array" ref="E888">INDEX($J$53:$J$102, 917 - ROW() + 1)</f>
        <v>1.1399999999999999</v>
      </c>
      <c r="F888" cm="1">
        <f t="array" ref="F888">INDEX($J$2:$J$51, 917 - ROW() + 1)</f>
        <v>0.75</v>
      </c>
      <c r="G888" s="2"/>
      <c r="H888">
        <v>111</v>
      </c>
    </row>
    <row r="889" spans="1:8" x14ac:dyDescent="0.35">
      <c r="A889">
        <v>122</v>
      </c>
      <c r="B889" cm="1">
        <f t="array" ref="B889">INDEX($J$206:$J$255, 917 - ROW() + 1)</f>
        <v>2</v>
      </c>
      <c r="C889" cm="1">
        <f t="array" ref="C889">INDEX($J$155:$J$204, 917 - ROW() + 1)</f>
        <v>1.6</v>
      </c>
      <c r="D889" cm="1">
        <f t="array" ref="D889">INDEX($J$104:$J$153, 917 - ROW() + 1)</f>
        <v>1.67</v>
      </c>
      <c r="E889" cm="1">
        <f t="array" ref="E889">INDEX($J$53:$J$102, 917 - ROW() + 1)</f>
        <v>1.05</v>
      </c>
      <c r="F889" cm="1">
        <f t="array" ref="F889">INDEX($J$2:$J$51, 917 - ROW() + 1)</f>
        <v>1</v>
      </c>
      <c r="G889" s="2"/>
      <c r="H889">
        <v>112</v>
      </c>
    </row>
    <row r="890" spans="1:8" x14ac:dyDescent="0.35">
      <c r="A890">
        <v>123</v>
      </c>
      <c r="B890" cm="1">
        <f t="array" ref="B890">INDEX($J$206:$J$255, 917 - ROW() + 1)</f>
        <v>2.33</v>
      </c>
      <c r="C890" cm="1">
        <f t="array" ref="C890">INDEX($J$155:$J$204, 917 - ROW() + 1)</f>
        <v>1.73</v>
      </c>
      <c r="D890" cm="1">
        <f t="array" ref="D890">INDEX($J$104:$J$153, 917 - ROW() + 1)</f>
        <v>1.33</v>
      </c>
      <c r="E890" cm="1">
        <f t="array" ref="E890">INDEX($J$53:$J$102, 917 - ROW() + 1)</f>
        <v>1.05</v>
      </c>
      <c r="F890" cm="1">
        <f t="array" ref="F890">INDEX($J$2:$J$51, 917 - ROW() + 1)</f>
        <v>0.75</v>
      </c>
      <c r="G890" s="2"/>
      <c r="H890">
        <v>113</v>
      </c>
    </row>
    <row r="891" spans="1:8" x14ac:dyDescent="0.35">
      <c r="A891">
        <v>124</v>
      </c>
      <c r="B891" cm="1">
        <f t="array" ref="B891">INDEX($J$206:$J$255, 917 - ROW() + 1)</f>
        <v>2.33</v>
      </c>
      <c r="C891" cm="1">
        <f t="array" ref="C891">INDEX($J$155:$J$204, 917 - ROW() + 1)</f>
        <v>1.87</v>
      </c>
      <c r="D891" cm="1">
        <f t="array" ref="D891">INDEX($J$104:$J$153, 917 - ROW() + 1)</f>
        <v>1.33</v>
      </c>
      <c r="E891" cm="1">
        <f t="array" ref="E891">INDEX($J$53:$J$102, 917 - ROW() + 1)</f>
        <v>0.86</v>
      </c>
      <c r="F891" cm="1">
        <f t="array" ref="F891">INDEX($J$2:$J$51, 917 - ROW() + 1)</f>
        <v>1</v>
      </c>
      <c r="G891" s="2"/>
      <c r="H891">
        <v>114</v>
      </c>
    </row>
    <row r="892" spans="1:8" x14ac:dyDescent="0.35">
      <c r="A892">
        <v>125</v>
      </c>
      <c r="B892" cm="1">
        <f t="array" ref="B892">INDEX($J$206:$J$255, 917 - ROW() + 1)</f>
        <v>2</v>
      </c>
      <c r="C892" cm="1">
        <f t="array" ref="C892">INDEX($J$155:$J$204, 917 - ROW() + 1)</f>
        <v>1.6</v>
      </c>
      <c r="D892" cm="1">
        <f t="array" ref="D892">INDEX($J$104:$J$153, 917 - ROW() + 1)</f>
        <v>1.33</v>
      </c>
      <c r="E892" cm="1">
        <f t="array" ref="E892">INDEX($J$53:$J$102, 917 - ROW() + 1)</f>
        <v>0.86</v>
      </c>
      <c r="F892" cm="1">
        <f t="array" ref="F892">INDEX($J$2:$J$51, 917 - ROW() + 1)</f>
        <v>0.83</v>
      </c>
      <c r="G892" s="2"/>
      <c r="H892">
        <v>115</v>
      </c>
    </row>
    <row r="893" spans="1:8" x14ac:dyDescent="0.35">
      <c r="A893">
        <v>126</v>
      </c>
      <c r="B893" cm="1">
        <f t="array" ref="B893">INDEX($J$206:$J$255, 917 - ROW() + 1)</f>
        <v>2.5</v>
      </c>
      <c r="C893" cm="1">
        <f t="array" ref="C893">INDEX($J$155:$J$204, 917 - ROW() + 1)</f>
        <v>1.87</v>
      </c>
      <c r="D893" cm="1">
        <f t="array" ref="D893">INDEX($J$104:$J$153, 917 - ROW() + 1)</f>
        <v>1.22</v>
      </c>
      <c r="E893" cm="1">
        <f t="array" ref="E893">INDEX($J$53:$J$102, 917 - ROW() + 1)</f>
        <v>0.95</v>
      </c>
      <c r="F893" cm="1">
        <f t="array" ref="F893">INDEX($J$2:$J$51, 917 - ROW() + 1)</f>
        <v>0.67</v>
      </c>
      <c r="G893" s="2"/>
      <c r="H893">
        <v>116</v>
      </c>
    </row>
    <row r="894" spans="1:8" x14ac:dyDescent="0.35">
      <c r="A894">
        <v>127</v>
      </c>
      <c r="B894" cm="1">
        <f t="array" ref="B894">INDEX($J$206:$J$255, 917 - ROW() + 1)</f>
        <v>2.17</v>
      </c>
      <c r="C894" cm="1">
        <f t="array" ref="C894">INDEX($J$155:$J$204, 917 - ROW() + 1)</f>
        <v>1.73</v>
      </c>
      <c r="D894" cm="1">
        <f t="array" ref="D894">INDEX($J$104:$J$153, 917 - ROW() + 1)</f>
        <v>1.33</v>
      </c>
      <c r="E894" cm="1">
        <f t="array" ref="E894">INDEX($J$53:$J$102, 917 - ROW() + 1)</f>
        <v>1.1399999999999999</v>
      </c>
      <c r="F894" cm="1">
        <f t="array" ref="F894">INDEX($J$2:$J$51, 917 - ROW() + 1)</f>
        <v>0.83</v>
      </c>
      <c r="G894" s="2"/>
      <c r="H894">
        <v>117</v>
      </c>
    </row>
    <row r="895" spans="1:8" x14ac:dyDescent="0.35">
      <c r="A895">
        <v>128</v>
      </c>
      <c r="B895" cm="1">
        <f t="array" ref="B895">INDEX($J$206:$J$255, 917 - ROW() + 1)</f>
        <v>2</v>
      </c>
      <c r="C895" cm="1">
        <f t="array" ref="C895">INDEX($J$155:$J$204, 917 - ROW() + 1)</f>
        <v>1.6</v>
      </c>
      <c r="D895" cm="1">
        <f t="array" ref="D895">INDEX($J$104:$J$153, 917 - ROW() + 1)</f>
        <v>1.33</v>
      </c>
      <c r="E895" cm="1">
        <f t="array" ref="E895">INDEX($J$53:$J$102, 917 - ROW() + 1)</f>
        <v>1.05</v>
      </c>
      <c r="F895" cm="1">
        <f t="array" ref="F895">INDEX($J$2:$J$51, 917 - ROW() + 1)</f>
        <v>0.92</v>
      </c>
      <c r="G895" s="2"/>
      <c r="H895">
        <v>118</v>
      </c>
    </row>
    <row r="896" spans="1:8" x14ac:dyDescent="0.35">
      <c r="A896">
        <v>129</v>
      </c>
      <c r="B896" cm="1">
        <f t="array" ref="B896">INDEX($J$206:$J$255, 917 - ROW() + 1)</f>
        <v>2.33</v>
      </c>
      <c r="C896" cm="1">
        <f t="array" ref="C896">INDEX($J$155:$J$204, 917 - ROW() + 1)</f>
        <v>1.87</v>
      </c>
      <c r="D896" cm="1">
        <f t="array" ref="D896">INDEX($J$104:$J$153, 917 - ROW() + 1)</f>
        <v>1.22</v>
      </c>
      <c r="E896" cm="1">
        <f t="array" ref="E896">INDEX($J$53:$J$102, 917 - ROW() + 1)</f>
        <v>1.05</v>
      </c>
      <c r="F896" cm="1">
        <f t="array" ref="F896">INDEX($J$2:$J$51, 917 - ROW() + 1)</f>
        <v>0.67</v>
      </c>
      <c r="G896" s="2"/>
      <c r="H896">
        <v>119</v>
      </c>
    </row>
    <row r="897" spans="1:8" x14ac:dyDescent="0.35">
      <c r="A897">
        <v>130</v>
      </c>
      <c r="B897" cm="1">
        <f t="array" ref="B897">INDEX($J$206:$J$255, 917 - ROW() + 1)</f>
        <v>2.5</v>
      </c>
      <c r="C897" cm="1">
        <f t="array" ref="C897">INDEX($J$155:$J$204, 917 - ROW() + 1)</f>
        <v>2</v>
      </c>
      <c r="D897" cm="1">
        <f t="array" ref="D897">INDEX($J$104:$J$153, 917 - ROW() + 1)</f>
        <v>1.22</v>
      </c>
      <c r="E897" cm="1">
        <f t="array" ref="E897">INDEX($J$53:$J$102, 917 - ROW() + 1)</f>
        <v>1.1399999999999999</v>
      </c>
      <c r="F897" cm="1">
        <f t="array" ref="F897">INDEX($J$2:$J$51, 917 - ROW() + 1)</f>
        <v>0.92</v>
      </c>
      <c r="G897" s="2"/>
      <c r="H897">
        <v>120</v>
      </c>
    </row>
    <row r="898" spans="1:8" x14ac:dyDescent="0.35">
      <c r="A898">
        <v>131</v>
      </c>
      <c r="B898" cm="1">
        <f t="array" ref="B898">INDEX($J$206:$J$255, 917 - ROW() + 1)</f>
        <v>2</v>
      </c>
      <c r="C898" cm="1">
        <f t="array" ref="C898">INDEX($J$155:$J$204, 917 - ROW() + 1)</f>
        <v>1.87</v>
      </c>
      <c r="D898" cm="1">
        <f t="array" ref="D898">INDEX($J$104:$J$153, 917 - ROW() + 1)</f>
        <v>1.22</v>
      </c>
      <c r="E898" cm="1">
        <f t="array" ref="E898">INDEX($J$53:$J$102, 917 - ROW() + 1)</f>
        <v>0.86</v>
      </c>
      <c r="F898" cm="1">
        <f t="array" ref="F898">INDEX($J$2:$J$51, 917 - ROW() + 1)</f>
        <v>0.75</v>
      </c>
      <c r="G898" s="2"/>
      <c r="H898">
        <v>121</v>
      </c>
    </row>
    <row r="899" spans="1:8" x14ac:dyDescent="0.35">
      <c r="A899">
        <v>132</v>
      </c>
      <c r="B899" cm="1">
        <f t="array" ref="B899">INDEX($J$206:$J$255, 917 - ROW() + 1)</f>
        <v>2.33</v>
      </c>
      <c r="C899" cm="1">
        <f t="array" ref="C899">INDEX($J$155:$J$204, 917 - ROW() + 1)</f>
        <v>1.6</v>
      </c>
      <c r="D899" cm="1">
        <f t="array" ref="D899">INDEX($J$104:$J$153, 917 - ROW() + 1)</f>
        <v>1.33</v>
      </c>
      <c r="E899" cm="1">
        <f t="array" ref="E899">INDEX($J$53:$J$102, 917 - ROW() + 1)</f>
        <v>0.86</v>
      </c>
      <c r="F899" cm="1">
        <f t="array" ref="F899">INDEX($J$2:$J$51, 917 - ROW() + 1)</f>
        <v>0.92</v>
      </c>
      <c r="G899" s="2"/>
      <c r="H899">
        <v>122</v>
      </c>
    </row>
    <row r="900" spans="1:8" x14ac:dyDescent="0.35">
      <c r="A900">
        <v>133</v>
      </c>
      <c r="B900" cm="1">
        <f t="array" ref="B900">INDEX($J$206:$J$255, 917 - ROW() + 1)</f>
        <v>2</v>
      </c>
      <c r="C900" cm="1">
        <f t="array" ref="C900">INDEX($J$155:$J$204, 917 - ROW() + 1)</f>
        <v>1.6</v>
      </c>
      <c r="D900" cm="1">
        <f t="array" ref="D900">INDEX($J$104:$J$153, 917 - ROW() + 1)</f>
        <v>1.22</v>
      </c>
      <c r="E900" cm="1">
        <f t="array" ref="E900">INDEX($J$53:$J$102, 917 - ROW() + 1)</f>
        <v>1.1399999999999999</v>
      </c>
      <c r="F900" cm="1">
        <f t="array" ref="F900">INDEX($J$2:$J$51, 917 - ROW() + 1)</f>
        <v>0.75</v>
      </c>
      <c r="G900" s="2"/>
      <c r="H900">
        <v>123</v>
      </c>
    </row>
    <row r="901" spans="1:8" x14ac:dyDescent="0.35">
      <c r="A901">
        <v>134</v>
      </c>
      <c r="B901" cm="1">
        <f t="array" ref="B901">INDEX($J$206:$J$255, 917 - ROW() + 1)</f>
        <v>2.5</v>
      </c>
      <c r="C901" cm="1">
        <f t="array" ref="C901">INDEX($J$155:$J$204, 917 - ROW() + 1)</f>
        <v>1.73</v>
      </c>
      <c r="D901" cm="1">
        <f t="array" ref="D901">INDEX($J$104:$J$153, 917 - ROW() + 1)</f>
        <v>1.33</v>
      </c>
      <c r="E901" cm="1">
        <f t="array" ref="E901">INDEX($J$53:$J$102, 917 - ROW() + 1)</f>
        <v>1.05</v>
      </c>
      <c r="F901" cm="1">
        <f t="array" ref="F901">INDEX($J$2:$J$51, 917 - ROW() + 1)</f>
        <v>0.67</v>
      </c>
      <c r="G901" s="2"/>
      <c r="H901">
        <v>124</v>
      </c>
    </row>
    <row r="902" spans="1:8" x14ac:dyDescent="0.35">
      <c r="A902">
        <v>135</v>
      </c>
      <c r="B902" cm="1">
        <f t="array" ref="B902">INDEX($J$206:$J$255, 917 - ROW() + 1)</f>
        <v>2.5</v>
      </c>
      <c r="C902" cm="1">
        <f t="array" ref="C902">INDEX($J$155:$J$204, 917 - ROW() + 1)</f>
        <v>1.87</v>
      </c>
      <c r="D902" cm="1">
        <f t="array" ref="D902">INDEX($J$104:$J$153, 917 - ROW() + 1)</f>
        <v>1.33</v>
      </c>
      <c r="E902" cm="1">
        <f t="array" ref="E902">INDEX($J$53:$J$102, 917 - ROW() + 1)</f>
        <v>1.05</v>
      </c>
      <c r="F902" cm="1">
        <f t="array" ref="F902">INDEX($J$2:$J$51, 917 - ROW() + 1)</f>
        <v>0.83</v>
      </c>
      <c r="G902" s="2"/>
      <c r="H902">
        <v>125</v>
      </c>
    </row>
    <row r="903" spans="1:8" x14ac:dyDescent="0.35">
      <c r="A903">
        <v>136</v>
      </c>
      <c r="B903" cm="1">
        <f t="array" ref="B903">INDEX($J$206:$J$255, 917 - ROW() + 1)</f>
        <v>2.33</v>
      </c>
      <c r="C903" cm="1">
        <f t="array" ref="C903">INDEX($J$155:$J$204, 917 - ROW() + 1)</f>
        <v>1.73</v>
      </c>
      <c r="D903" cm="1">
        <f t="array" ref="D903">INDEX($J$104:$J$153, 917 - ROW() + 1)</f>
        <v>1</v>
      </c>
      <c r="E903" cm="1">
        <f t="array" ref="E903">INDEX($J$53:$J$102, 917 - ROW() + 1)</f>
        <v>0.76</v>
      </c>
      <c r="F903" cm="1">
        <f t="array" ref="F903">INDEX($J$2:$J$51, 917 - ROW() + 1)</f>
        <v>0.75</v>
      </c>
      <c r="G903" s="2"/>
      <c r="H903">
        <v>126</v>
      </c>
    </row>
    <row r="904" spans="1:8" x14ac:dyDescent="0.35">
      <c r="A904">
        <v>137</v>
      </c>
      <c r="B904" cm="1">
        <f t="array" ref="B904">INDEX($J$206:$J$255, 917 - ROW() + 1)</f>
        <v>2.17</v>
      </c>
      <c r="C904" cm="1">
        <f t="array" ref="C904">INDEX($J$155:$J$204, 917 - ROW() + 1)</f>
        <v>1.87</v>
      </c>
      <c r="D904" cm="1">
        <f t="array" ref="D904">INDEX($J$104:$J$153, 917 - ROW() + 1)</f>
        <v>1.33</v>
      </c>
      <c r="E904" cm="1">
        <f t="array" ref="E904">INDEX($J$53:$J$102, 917 - ROW() + 1)</f>
        <v>1.05</v>
      </c>
      <c r="F904" cm="1">
        <f t="array" ref="F904">INDEX($J$2:$J$51, 917 - ROW() + 1)</f>
        <v>0.5</v>
      </c>
      <c r="G904" s="2"/>
      <c r="H904">
        <v>127</v>
      </c>
    </row>
    <row r="905" spans="1:8" x14ac:dyDescent="0.35">
      <c r="A905">
        <v>138</v>
      </c>
      <c r="B905" cm="1">
        <f t="array" ref="B905">INDEX($J$206:$J$255, 917 - ROW() + 1)</f>
        <v>2</v>
      </c>
      <c r="C905" cm="1">
        <f t="array" ref="C905">INDEX($J$155:$J$204, 917 - ROW() + 1)</f>
        <v>2</v>
      </c>
      <c r="D905" cm="1">
        <f t="array" ref="D905">INDEX($J$104:$J$153, 917 - ROW() + 1)</f>
        <v>1.56</v>
      </c>
      <c r="E905" cm="1">
        <f t="array" ref="E905">INDEX($J$53:$J$102, 917 - ROW() + 1)</f>
        <v>1.05</v>
      </c>
      <c r="F905" cm="1">
        <f t="array" ref="F905">INDEX($J$2:$J$51, 917 - ROW() + 1)</f>
        <v>0.83</v>
      </c>
      <c r="G905" s="2"/>
      <c r="H905">
        <v>128</v>
      </c>
    </row>
    <row r="906" spans="1:8" x14ac:dyDescent="0.35">
      <c r="A906">
        <v>139</v>
      </c>
      <c r="B906" cm="1">
        <f t="array" ref="B906">INDEX($J$206:$J$255, 917 - ROW() + 1)</f>
        <v>2.33</v>
      </c>
      <c r="C906" cm="1">
        <f t="array" ref="C906">INDEX($J$155:$J$204, 917 - ROW() + 1)</f>
        <v>1.47</v>
      </c>
      <c r="D906" cm="1">
        <f t="array" ref="D906">INDEX($J$104:$J$153, 917 - ROW() + 1)</f>
        <v>1.33</v>
      </c>
      <c r="E906" cm="1">
        <f t="array" ref="E906">INDEX($J$53:$J$102, 917 - ROW() + 1)</f>
        <v>0.86</v>
      </c>
      <c r="F906" cm="1">
        <f t="array" ref="F906">INDEX($J$2:$J$51, 917 - ROW() + 1)</f>
        <v>0.67</v>
      </c>
      <c r="G906" s="2"/>
      <c r="H906">
        <v>129</v>
      </c>
    </row>
    <row r="907" spans="1:8" x14ac:dyDescent="0.35">
      <c r="A907">
        <v>140</v>
      </c>
      <c r="B907" cm="1">
        <f t="array" ref="B907">INDEX($J$206:$J$255, 917 - ROW() + 1)</f>
        <v>2.33</v>
      </c>
      <c r="C907" cm="1">
        <f t="array" ref="C907">INDEX($J$155:$J$204, 917 - ROW() + 1)</f>
        <v>1.87</v>
      </c>
      <c r="D907" cm="1">
        <f t="array" ref="D907">INDEX($J$104:$J$153, 917 - ROW() + 1)</f>
        <v>1.33</v>
      </c>
      <c r="E907" cm="1">
        <f t="array" ref="E907">INDEX($J$53:$J$102, 917 - ROW() + 1)</f>
        <v>0.95</v>
      </c>
      <c r="F907" cm="1">
        <f t="array" ref="F907">INDEX($J$2:$J$51, 917 - ROW() + 1)</f>
        <v>0.67</v>
      </c>
      <c r="G907" s="2"/>
      <c r="H907">
        <v>130</v>
      </c>
    </row>
    <row r="908" spans="1:8" x14ac:dyDescent="0.35">
      <c r="A908">
        <v>141</v>
      </c>
      <c r="B908" cm="1">
        <f t="array" ref="B908">INDEX($J$206:$J$255, 917 - ROW() + 1)</f>
        <v>2.17</v>
      </c>
      <c r="C908" cm="1">
        <f t="array" ref="C908">INDEX($J$155:$J$204, 917 - ROW() + 1)</f>
        <v>1.87</v>
      </c>
      <c r="D908" cm="1">
        <f t="array" ref="D908">INDEX($J$104:$J$153, 917 - ROW() + 1)</f>
        <v>1.56</v>
      </c>
      <c r="E908" cm="1">
        <f t="array" ref="E908">INDEX($J$53:$J$102, 917 - ROW() + 1)</f>
        <v>0.86</v>
      </c>
      <c r="F908" cm="1">
        <f t="array" ref="F908">INDEX($J$2:$J$51, 917 - ROW() + 1)</f>
        <v>1.08</v>
      </c>
      <c r="G908" s="2"/>
      <c r="H908">
        <v>131</v>
      </c>
    </row>
    <row r="909" spans="1:8" x14ac:dyDescent="0.35">
      <c r="A909">
        <v>142</v>
      </c>
      <c r="B909" cm="1">
        <f t="array" ref="B909">INDEX($J$206:$J$255, 917 - ROW() + 1)</f>
        <v>2.33</v>
      </c>
      <c r="C909" cm="1">
        <f t="array" ref="C909">INDEX($J$155:$J$204, 917 - ROW() + 1)</f>
        <v>1.87</v>
      </c>
      <c r="D909" cm="1">
        <f t="array" ref="D909">INDEX($J$104:$J$153, 917 - ROW() + 1)</f>
        <v>1.1100000000000001</v>
      </c>
      <c r="E909" cm="1">
        <f t="array" ref="E909">INDEX($J$53:$J$102, 917 - ROW() + 1)</f>
        <v>0.95</v>
      </c>
      <c r="F909" cm="1">
        <f t="array" ref="F909">INDEX($J$2:$J$51, 917 - ROW() + 1)</f>
        <v>0.67</v>
      </c>
      <c r="G909" s="2"/>
      <c r="H909">
        <v>132</v>
      </c>
    </row>
    <row r="910" spans="1:8" x14ac:dyDescent="0.35">
      <c r="A910">
        <v>143</v>
      </c>
      <c r="B910" cm="1">
        <f t="array" ref="B910">INDEX($J$206:$J$255, 917 - ROW() + 1)</f>
        <v>2.33</v>
      </c>
      <c r="C910" cm="1">
        <f t="array" ref="C910">INDEX($J$155:$J$204, 917 - ROW() + 1)</f>
        <v>1.73</v>
      </c>
      <c r="D910" cm="1">
        <f t="array" ref="D910">INDEX($J$104:$J$153, 917 - ROW() + 1)</f>
        <v>1.56</v>
      </c>
      <c r="E910" cm="1">
        <f t="array" ref="E910">INDEX($J$53:$J$102, 917 - ROW() + 1)</f>
        <v>1.1399999999999999</v>
      </c>
      <c r="F910" cm="1">
        <f t="array" ref="F910">INDEX($J$2:$J$51, 917 - ROW() + 1)</f>
        <v>1</v>
      </c>
      <c r="G910" s="2"/>
      <c r="H910">
        <v>133</v>
      </c>
    </row>
    <row r="911" spans="1:8" x14ac:dyDescent="0.35">
      <c r="A911">
        <v>144</v>
      </c>
      <c r="B911" cm="1">
        <f t="array" ref="B911">INDEX($J$206:$J$255, 917 - ROW() + 1)</f>
        <v>2.5</v>
      </c>
      <c r="C911" cm="1">
        <f t="array" ref="C911">INDEX($J$155:$J$204, 917 - ROW() + 1)</f>
        <v>1.6</v>
      </c>
      <c r="D911" cm="1">
        <f t="array" ref="D911">INDEX($J$104:$J$153, 917 - ROW() + 1)</f>
        <v>1.56</v>
      </c>
      <c r="E911" cm="1">
        <f t="array" ref="E911">INDEX($J$53:$J$102, 917 - ROW() + 1)</f>
        <v>1.05</v>
      </c>
      <c r="F911" cm="1">
        <f t="array" ref="F911">INDEX($J$2:$J$51, 917 - ROW() + 1)</f>
        <v>0.75</v>
      </c>
      <c r="G911" s="2"/>
      <c r="H911">
        <v>134</v>
      </c>
    </row>
    <row r="912" spans="1:8" x14ac:dyDescent="0.35">
      <c r="A912">
        <v>145</v>
      </c>
      <c r="B912" cm="1">
        <f t="array" ref="B912">INDEX($J$206:$J$255, 917 - ROW() + 1)</f>
        <v>2.5</v>
      </c>
      <c r="C912" cm="1">
        <f t="array" ref="C912">INDEX($J$155:$J$204, 917 - ROW() + 1)</f>
        <v>1.6</v>
      </c>
      <c r="D912" cm="1">
        <f t="array" ref="D912">INDEX($J$104:$J$153, 917 - ROW() + 1)</f>
        <v>1.22</v>
      </c>
      <c r="E912" cm="1">
        <f t="array" ref="E912">INDEX($J$53:$J$102, 917 - ROW() + 1)</f>
        <v>1.05</v>
      </c>
      <c r="F912" cm="1">
        <f t="array" ref="F912">INDEX($J$2:$J$51, 917 - ROW() + 1)</f>
        <v>1</v>
      </c>
      <c r="G912" s="2"/>
      <c r="H912">
        <v>135</v>
      </c>
    </row>
    <row r="913" spans="1:8" x14ac:dyDescent="0.35">
      <c r="A913">
        <v>146</v>
      </c>
      <c r="B913" cm="1">
        <f t="array" ref="B913">INDEX($J$206:$J$255, 917 - ROW() + 1)</f>
        <v>2.33</v>
      </c>
      <c r="C913" cm="1">
        <f t="array" ref="C913">INDEX($J$155:$J$204, 917 - ROW() + 1)</f>
        <v>1.87</v>
      </c>
      <c r="D913" cm="1">
        <f t="array" ref="D913">INDEX($J$104:$J$153, 917 - ROW() + 1)</f>
        <v>1.44</v>
      </c>
      <c r="E913" cm="1">
        <f t="array" ref="E913">INDEX($J$53:$J$102, 917 - ROW() + 1)</f>
        <v>0.95</v>
      </c>
      <c r="F913" cm="1">
        <f t="array" ref="F913">INDEX($J$2:$J$51, 917 - ROW() + 1)</f>
        <v>0.67</v>
      </c>
      <c r="G913" s="2"/>
      <c r="H913">
        <v>136</v>
      </c>
    </row>
    <row r="914" spans="1:8" x14ac:dyDescent="0.35">
      <c r="A914">
        <v>147</v>
      </c>
      <c r="B914" cm="1">
        <f t="array" ref="B914">INDEX($J$206:$J$255, 917 - ROW() + 1)</f>
        <v>1.83</v>
      </c>
      <c r="C914" cm="1">
        <f t="array" ref="C914">INDEX($J$155:$J$204, 917 - ROW() + 1)</f>
        <v>1.87</v>
      </c>
      <c r="D914" cm="1">
        <f t="array" ref="D914">INDEX($J$104:$J$153, 917 - ROW() + 1)</f>
        <v>1.22</v>
      </c>
      <c r="E914" cm="1">
        <f t="array" ref="E914">INDEX($J$53:$J$102, 917 - ROW() + 1)</f>
        <v>1.1399999999999999</v>
      </c>
      <c r="F914" cm="1">
        <f t="array" ref="F914">INDEX($J$2:$J$51, 917 - ROW() + 1)</f>
        <v>0.83</v>
      </c>
      <c r="G914" s="2"/>
      <c r="H914">
        <v>137</v>
      </c>
    </row>
    <row r="915" spans="1:8" x14ac:dyDescent="0.35">
      <c r="A915">
        <v>148</v>
      </c>
      <c r="B915" cm="1">
        <f t="array" ref="B915">INDEX($J$206:$J$255, 917 - ROW() + 1)</f>
        <v>2.17</v>
      </c>
      <c r="C915" cm="1">
        <f t="array" ref="C915">INDEX($J$155:$J$204, 917 - ROW() + 1)</f>
        <v>1.73</v>
      </c>
      <c r="D915" cm="1">
        <f t="array" ref="D915">INDEX($J$104:$J$153, 917 - ROW() + 1)</f>
        <v>1.22</v>
      </c>
      <c r="E915" cm="1">
        <f t="array" ref="E915">INDEX($J$53:$J$102, 917 - ROW() + 1)</f>
        <v>1.05</v>
      </c>
      <c r="F915" cm="1">
        <f t="array" ref="F915">INDEX($J$2:$J$51, 917 - ROW() + 1)</f>
        <v>0.67</v>
      </c>
      <c r="G915" s="2"/>
      <c r="H915">
        <v>138</v>
      </c>
    </row>
    <row r="916" spans="1:8" x14ac:dyDescent="0.35">
      <c r="A916">
        <v>149</v>
      </c>
      <c r="B916" cm="1">
        <f t="array" ref="B916">INDEX($J$206:$J$255, 917 - ROW() + 1)</f>
        <v>2.33</v>
      </c>
      <c r="C916" cm="1">
        <f t="array" ref="C916">INDEX($J$155:$J$204, 917 - ROW() + 1)</f>
        <v>1.6</v>
      </c>
      <c r="D916" cm="1">
        <f t="array" ref="D916">INDEX($J$104:$J$153, 917 - ROW() + 1)</f>
        <v>1.56</v>
      </c>
      <c r="E916" cm="1">
        <f t="array" ref="E916">INDEX($J$53:$J$102, 917 - ROW() + 1)</f>
        <v>0.95</v>
      </c>
      <c r="F916" cm="1">
        <f t="array" ref="F916">INDEX($J$2:$J$51, 917 - ROW() + 1)</f>
        <v>0.57999999999999996</v>
      </c>
      <c r="G916" s="2"/>
      <c r="H916">
        <v>139</v>
      </c>
    </row>
    <row r="917" spans="1:8" x14ac:dyDescent="0.35">
      <c r="A917">
        <v>150</v>
      </c>
      <c r="B917" cm="1">
        <f t="array" ref="B917">INDEX($J$206:$J$255, 917 - ROW() + 1)</f>
        <v>2.17</v>
      </c>
      <c r="C917" cm="1">
        <f t="array" ref="C917">INDEX($J$155:$J$204, 917 - ROW() + 1)</f>
        <v>1.87</v>
      </c>
      <c r="D917" cm="1">
        <f t="array" ref="D917">INDEX($J$104:$J$153, 917 - ROW() + 1)</f>
        <v>1.33</v>
      </c>
      <c r="E917" cm="1">
        <f t="array" ref="E917">INDEX($J$53:$J$102, 917 - ROW() + 1)</f>
        <v>1.1399999999999999</v>
      </c>
      <c r="F917" cm="1">
        <f t="array" ref="F917">INDEX($J$2:$J$51, 917 - ROW() + 1)</f>
        <v>0.67</v>
      </c>
      <c r="G917" s="2"/>
      <c r="H917">
        <v>140</v>
      </c>
    </row>
    <row r="918" spans="1:8" x14ac:dyDescent="0.35">
      <c r="H918">
        <v>141</v>
      </c>
    </row>
    <row r="919" spans="1:8" x14ac:dyDescent="0.35">
      <c r="H919">
        <v>142</v>
      </c>
    </row>
    <row r="920" spans="1:8" x14ac:dyDescent="0.35">
      <c r="H920">
        <v>143</v>
      </c>
    </row>
    <row r="921" spans="1:8" x14ac:dyDescent="0.35">
      <c r="H921">
        <v>144</v>
      </c>
    </row>
    <row r="922" spans="1:8" x14ac:dyDescent="0.35">
      <c r="H922">
        <v>145</v>
      </c>
    </row>
    <row r="923" spans="1:8" x14ac:dyDescent="0.35">
      <c r="H923">
        <v>146</v>
      </c>
    </row>
    <row r="924" spans="1:8" x14ac:dyDescent="0.35">
      <c r="H924">
        <v>147</v>
      </c>
    </row>
    <row r="925" spans="1:8" x14ac:dyDescent="0.35">
      <c r="H925">
        <v>148</v>
      </c>
    </row>
    <row r="926" spans="1:8" x14ac:dyDescent="0.35">
      <c r="H926">
        <v>149</v>
      </c>
    </row>
    <row r="927" spans="1:8" x14ac:dyDescent="0.35">
      <c r="H927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0694-404C-4365-9161-6B31916A5B60}">
  <sheetPr>
    <tabColor rgb="FFFFC000"/>
  </sheetPr>
  <dimension ref="A1:H927"/>
  <sheetViews>
    <sheetView tabSelected="1" zoomScale="70" zoomScaleNormal="70" workbookViewId="0">
      <selection activeCell="O30" sqref="O30"/>
    </sheetView>
  </sheetViews>
  <sheetFormatPr defaultRowHeight="14.5" x14ac:dyDescent="0.35"/>
  <cols>
    <col min="1" max="1" width="8" style="4" customWidth="1"/>
    <col min="2" max="2" width="7.81640625" style="4" customWidth="1"/>
    <col min="3" max="3" width="15.26953125" style="4" customWidth="1"/>
    <col min="4" max="4" width="11.1796875" style="4" customWidth="1"/>
    <col min="5" max="5" width="12" style="4" customWidth="1"/>
    <col min="6" max="6" width="7.1796875" style="4" customWidth="1"/>
    <col min="7" max="7" width="12" style="4" customWidth="1"/>
    <col min="8" max="8" width="14" style="4" customWidth="1"/>
  </cols>
  <sheetData>
    <row r="1" spans="1:8" x14ac:dyDescent="0.35">
      <c r="A1" s="44" t="s">
        <v>1626</v>
      </c>
      <c r="B1" s="44" t="s">
        <v>1627</v>
      </c>
      <c r="C1" s="44" t="s">
        <v>4</v>
      </c>
      <c r="D1" s="44" t="s">
        <v>5</v>
      </c>
      <c r="E1" s="44" t="s">
        <v>6</v>
      </c>
      <c r="F1" s="44" t="s">
        <v>1629</v>
      </c>
      <c r="G1" s="44" t="s">
        <v>1628</v>
      </c>
      <c r="H1" s="44" t="s">
        <v>10</v>
      </c>
    </row>
    <row r="2" spans="1:8" x14ac:dyDescent="0.35">
      <c r="A2" s="45">
        <v>750</v>
      </c>
      <c r="B2" s="45">
        <v>6</v>
      </c>
      <c r="C2" s="45" t="s">
        <v>14</v>
      </c>
      <c r="D2" s="45">
        <v>1.4</v>
      </c>
      <c r="E2" s="45">
        <v>1192</v>
      </c>
      <c r="F2" s="45">
        <v>40</v>
      </c>
      <c r="G2" s="45">
        <v>0.67</v>
      </c>
      <c r="H2" s="45">
        <v>0.16200000000000001</v>
      </c>
    </row>
    <row r="3" spans="1:8" x14ac:dyDescent="0.35">
      <c r="A3" s="45">
        <v>749</v>
      </c>
      <c r="B3" s="45">
        <v>7</v>
      </c>
      <c r="C3" s="45" t="s">
        <v>17</v>
      </c>
      <c r="D3" s="45">
        <v>2.9</v>
      </c>
      <c r="E3" s="45">
        <v>1193</v>
      </c>
      <c r="F3" s="45">
        <v>40</v>
      </c>
      <c r="G3" s="45">
        <v>0.57999999999999996</v>
      </c>
      <c r="H3" s="45">
        <v>0.16200000000000001</v>
      </c>
    </row>
    <row r="4" spans="1:8" x14ac:dyDescent="0.35">
      <c r="A4" s="45">
        <v>748</v>
      </c>
      <c r="B4" s="45">
        <v>3</v>
      </c>
      <c r="C4" s="45" t="s">
        <v>20</v>
      </c>
      <c r="D4" s="45">
        <v>1.2</v>
      </c>
      <c r="E4" s="45">
        <v>1192</v>
      </c>
      <c r="F4" s="45">
        <v>40</v>
      </c>
      <c r="G4" s="45">
        <v>0.67</v>
      </c>
      <c r="H4" s="45">
        <v>0.16200000000000001</v>
      </c>
    </row>
    <row r="5" spans="1:8" x14ac:dyDescent="0.35">
      <c r="A5" s="45">
        <v>747</v>
      </c>
      <c r="B5" s="45">
        <v>11</v>
      </c>
      <c r="C5" s="45" t="s">
        <v>23</v>
      </c>
      <c r="D5" s="45">
        <v>21.9</v>
      </c>
      <c r="E5" s="45">
        <v>1190</v>
      </c>
      <c r="F5" s="45">
        <v>40</v>
      </c>
      <c r="G5" s="45">
        <v>0.83</v>
      </c>
      <c r="H5" s="45">
        <v>0.16200000000000001</v>
      </c>
    </row>
    <row r="6" spans="1:8" x14ac:dyDescent="0.35">
      <c r="A6" s="45">
        <v>746</v>
      </c>
      <c r="B6" s="45">
        <v>11</v>
      </c>
      <c r="C6" s="45" t="s">
        <v>23</v>
      </c>
      <c r="D6" s="45">
        <v>19.399999999999999</v>
      </c>
      <c r="E6" s="45">
        <v>1192</v>
      </c>
      <c r="F6" s="45">
        <v>40</v>
      </c>
      <c r="G6" s="45">
        <v>0.67</v>
      </c>
      <c r="H6" s="45">
        <v>0.16200000000000001</v>
      </c>
    </row>
    <row r="7" spans="1:8" x14ac:dyDescent="0.35">
      <c r="A7" s="45">
        <v>745</v>
      </c>
      <c r="B7" s="45">
        <v>4</v>
      </c>
      <c r="C7" s="45" t="s">
        <v>28</v>
      </c>
      <c r="D7" s="45">
        <v>2.2999999999999998</v>
      </c>
      <c r="E7" s="45">
        <v>1188</v>
      </c>
      <c r="F7" s="45">
        <v>40</v>
      </c>
      <c r="G7" s="45">
        <v>1</v>
      </c>
      <c r="H7" s="45">
        <v>0.16200000000000001</v>
      </c>
    </row>
    <row r="8" spans="1:8" x14ac:dyDescent="0.35">
      <c r="A8" s="45">
        <v>744</v>
      </c>
      <c r="B8" s="45">
        <v>11</v>
      </c>
      <c r="C8" s="45" t="s">
        <v>23</v>
      </c>
      <c r="D8" s="45">
        <v>19.8</v>
      </c>
      <c r="E8" s="45">
        <v>1191</v>
      </c>
      <c r="F8" s="45">
        <v>40</v>
      </c>
      <c r="G8" s="45">
        <v>0.75</v>
      </c>
      <c r="H8" s="45">
        <v>0.16200000000000001</v>
      </c>
    </row>
    <row r="9" spans="1:8" x14ac:dyDescent="0.35">
      <c r="A9" s="45">
        <v>743</v>
      </c>
      <c r="B9" s="45">
        <v>11</v>
      </c>
      <c r="C9" s="45" t="s">
        <v>23</v>
      </c>
      <c r="D9" s="45">
        <v>19.3</v>
      </c>
      <c r="E9" s="45">
        <v>1188</v>
      </c>
      <c r="F9" s="45">
        <v>40</v>
      </c>
      <c r="G9" s="45">
        <v>1</v>
      </c>
      <c r="H9" s="45">
        <v>0.16200000000000001</v>
      </c>
    </row>
    <row r="10" spans="1:8" x14ac:dyDescent="0.35">
      <c r="A10" s="45">
        <v>742</v>
      </c>
      <c r="B10" s="45">
        <v>5</v>
      </c>
      <c r="C10" s="45" t="s">
        <v>35</v>
      </c>
      <c r="D10" s="45">
        <v>1.1000000000000001</v>
      </c>
      <c r="E10" s="45">
        <v>1192</v>
      </c>
      <c r="F10" s="45">
        <v>40</v>
      </c>
      <c r="G10" s="45">
        <v>0.67</v>
      </c>
      <c r="H10" s="45">
        <v>0.16200000000000001</v>
      </c>
    </row>
    <row r="11" spans="1:8" x14ac:dyDescent="0.35">
      <c r="A11" s="45">
        <v>741</v>
      </c>
      <c r="B11" s="45">
        <v>8</v>
      </c>
      <c r="C11" s="45" t="s">
        <v>38</v>
      </c>
      <c r="D11" s="45">
        <v>2.1</v>
      </c>
      <c r="E11" s="45">
        <v>1187</v>
      </c>
      <c r="F11" s="45">
        <v>40</v>
      </c>
      <c r="G11" s="45">
        <v>1.08</v>
      </c>
      <c r="H11" s="45">
        <v>0.161</v>
      </c>
    </row>
    <row r="12" spans="1:8" x14ac:dyDescent="0.35">
      <c r="A12" s="45">
        <v>740</v>
      </c>
      <c r="B12" s="45">
        <v>1</v>
      </c>
      <c r="C12" s="45" t="s">
        <v>41</v>
      </c>
      <c r="D12" s="45">
        <v>2.9</v>
      </c>
      <c r="E12" s="45">
        <v>1192</v>
      </c>
      <c r="F12" s="45">
        <v>40</v>
      </c>
      <c r="G12" s="45">
        <v>0.67</v>
      </c>
      <c r="H12" s="45">
        <v>0.16200000000000001</v>
      </c>
    </row>
    <row r="13" spans="1:8" x14ac:dyDescent="0.35">
      <c r="A13" s="45">
        <v>739</v>
      </c>
      <c r="B13" s="45">
        <v>9</v>
      </c>
      <c r="C13" s="45" t="s">
        <v>44</v>
      </c>
      <c r="D13" s="45">
        <v>1.6</v>
      </c>
      <c r="E13" s="45">
        <v>1192</v>
      </c>
      <c r="F13" s="45">
        <v>40</v>
      </c>
      <c r="G13" s="45">
        <v>0.67</v>
      </c>
      <c r="H13" s="45">
        <v>0.16200000000000001</v>
      </c>
    </row>
    <row r="14" spans="1:8" x14ac:dyDescent="0.35">
      <c r="A14" s="45">
        <v>738</v>
      </c>
      <c r="B14" s="45">
        <v>11</v>
      </c>
      <c r="C14" s="45" t="s">
        <v>23</v>
      </c>
      <c r="D14" s="45">
        <v>18.899999999999999</v>
      </c>
      <c r="E14" s="45">
        <v>1190</v>
      </c>
      <c r="F14" s="45">
        <v>40</v>
      </c>
      <c r="G14" s="45">
        <v>0.83</v>
      </c>
      <c r="H14" s="45">
        <v>0.16200000000000001</v>
      </c>
    </row>
    <row r="15" spans="1:8" x14ac:dyDescent="0.35">
      <c r="A15" s="45">
        <v>737</v>
      </c>
      <c r="B15" s="45">
        <v>4</v>
      </c>
      <c r="C15" s="45" t="s">
        <v>28</v>
      </c>
      <c r="D15" s="45">
        <v>2.2000000000000002</v>
      </c>
      <c r="E15" s="45">
        <v>1194</v>
      </c>
      <c r="F15" s="45">
        <v>40</v>
      </c>
      <c r="G15" s="45">
        <v>0.5</v>
      </c>
      <c r="H15" s="45">
        <v>0.16200000000000001</v>
      </c>
    </row>
    <row r="16" spans="1:8" x14ac:dyDescent="0.35">
      <c r="A16" s="45">
        <v>736</v>
      </c>
      <c r="B16" s="45">
        <v>11</v>
      </c>
      <c r="C16" s="45" t="s">
        <v>23</v>
      </c>
      <c r="D16" s="45">
        <v>17.899999999999999</v>
      </c>
      <c r="E16" s="45">
        <v>1191</v>
      </c>
      <c r="F16" s="45">
        <v>40</v>
      </c>
      <c r="G16" s="45">
        <v>0.75</v>
      </c>
      <c r="H16" s="45">
        <v>0.16200000000000001</v>
      </c>
    </row>
    <row r="17" spans="1:8" x14ac:dyDescent="0.35">
      <c r="A17" s="45">
        <v>735</v>
      </c>
      <c r="B17" s="45">
        <v>1</v>
      </c>
      <c r="C17" s="45" t="s">
        <v>41</v>
      </c>
      <c r="D17" s="45">
        <v>2.9</v>
      </c>
      <c r="E17" s="45">
        <v>1190</v>
      </c>
      <c r="F17" s="45">
        <v>40</v>
      </c>
      <c r="G17" s="45">
        <v>0.83</v>
      </c>
      <c r="H17" s="45">
        <v>0.16200000000000001</v>
      </c>
    </row>
    <row r="18" spans="1:8" x14ac:dyDescent="0.35">
      <c r="A18" s="45">
        <v>734</v>
      </c>
      <c r="B18" s="45">
        <v>6</v>
      </c>
      <c r="C18" s="45" t="s">
        <v>14</v>
      </c>
      <c r="D18" s="45">
        <v>1.2</v>
      </c>
      <c r="E18" s="45">
        <v>1192</v>
      </c>
      <c r="F18" s="45">
        <v>40</v>
      </c>
      <c r="G18" s="45">
        <v>0.67</v>
      </c>
      <c r="H18" s="45">
        <v>0.16200000000000001</v>
      </c>
    </row>
    <row r="19" spans="1:8" x14ac:dyDescent="0.35">
      <c r="A19" s="45">
        <v>733</v>
      </c>
      <c r="B19" s="45">
        <v>11</v>
      </c>
      <c r="C19" s="45" t="s">
        <v>23</v>
      </c>
      <c r="D19" s="45">
        <v>13.6</v>
      </c>
      <c r="E19" s="45">
        <v>1191</v>
      </c>
      <c r="F19" s="45">
        <v>40</v>
      </c>
      <c r="G19" s="45">
        <v>0.75</v>
      </c>
      <c r="H19" s="45">
        <v>0.16200000000000001</v>
      </c>
    </row>
    <row r="20" spans="1:8" x14ac:dyDescent="0.35">
      <c r="A20" s="45">
        <v>732</v>
      </c>
      <c r="B20" s="45">
        <v>12</v>
      </c>
      <c r="C20" s="45" t="s">
        <v>59</v>
      </c>
      <c r="D20" s="45">
        <v>0</v>
      </c>
      <c r="E20" s="45">
        <v>1189</v>
      </c>
      <c r="F20" s="45">
        <v>40</v>
      </c>
      <c r="G20" s="45">
        <v>0.92</v>
      </c>
      <c r="H20" s="45">
        <v>0.16200000000000001</v>
      </c>
    </row>
    <row r="21" spans="1:8" x14ac:dyDescent="0.35">
      <c r="A21" s="45">
        <v>731</v>
      </c>
      <c r="B21" s="45">
        <v>11</v>
      </c>
      <c r="C21" s="45" t="s">
        <v>23</v>
      </c>
      <c r="D21" s="45">
        <v>14.4</v>
      </c>
      <c r="E21" s="45">
        <v>1191</v>
      </c>
      <c r="F21" s="45">
        <v>40</v>
      </c>
      <c r="G21" s="45">
        <v>0.75</v>
      </c>
      <c r="H21" s="45">
        <v>0.16200000000000001</v>
      </c>
    </row>
    <row r="22" spans="1:8" x14ac:dyDescent="0.35">
      <c r="A22" s="45">
        <v>730</v>
      </c>
      <c r="B22" s="45">
        <v>12</v>
      </c>
      <c r="C22" s="45" t="s">
        <v>59</v>
      </c>
      <c r="D22" s="45">
        <v>0</v>
      </c>
      <c r="E22" s="45">
        <v>1189</v>
      </c>
      <c r="F22" s="45">
        <v>40</v>
      </c>
      <c r="G22" s="45">
        <v>0.92</v>
      </c>
      <c r="H22" s="45">
        <v>0.16200000000000001</v>
      </c>
    </row>
    <row r="23" spans="1:8" x14ac:dyDescent="0.35">
      <c r="A23" s="45">
        <v>729</v>
      </c>
      <c r="B23" s="45">
        <v>11</v>
      </c>
      <c r="C23" s="45" t="s">
        <v>23</v>
      </c>
      <c r="D23" s="45">
        <v>19.600000000000001</v>
      </c>
      <c r="E23" s="45">
        <v>1192</v>
      </c>
      <c r="F23" s="45">
        <v>40</v>
      </c>
      <c r="G23" s="45">
        <v>0.67</v>
      </c>
      <c r="H23" s="45">
        <v>0.161</v>
      </c>
    </row>
    <row r="24" spans="1:8" x14ac:dyDescent="0.35">
      <c r="A24" s="45">
        <v>728</v>
      </c>
      <c r="B24" s="45">
        <v>3</v>
      </c>
      <c r="C24" s="45" t="s">
        <v>20</v>
      </c>
      <c r="D24" s="45">
        <v>1.1000000000000001</v>
      </c>
      <c r="E24" s="45">
        <v>1189</v>
      </c>
      <c r="F24" s="45">
        <v>40</v>
      </c>
      <c r="G24" s="45">
        <v>0.92</v>
      </c>
      <c r="H24" s="45">
        <v>0.16200000000000001</v>
      </c>
    </row>
    <row r="25" spans="1:8" x14ac:dyDescent="0.35">
      <c r="A25" s="45">
        <v>727</v>
      </c>
      <c r="B25" s="45">
        <v>7</v>
      </c>
      <c r="C25" s="45" t="s">
        <v>17</v>
      </c>
      <c r="D25" s="45">
        <v>2.9</v>
      </c>
      <c r="E25" s="45">
        <v>1190</v>
      </c>
      <c r="F25" s="45">
        <v>40</v>
      </c>
      <c r="G25" s="45">
        <v>0.83</v>
      </c>
      <c r="H25" s="45">
        <v>0.16200000000000001</v>
      </c>
    </row>
    <row r="26" spans="1:8" x14ac:dyDescent="0.35">
      <c r="A26" s="45">
        <v>726</v>
      </c>
      <c r="B26" s="45">
        <v>8</v>
      </c>
      <c r="C26" s="45" t="s">
        <v>38</v>
      </c>
      <c r="D26" s="45">
        <v>2.1</v>
      </c>
      <c r="E26" s="45">
        <v>1192</v>
      </c>
      <c r="F26" s="45">
        <v>40</v>
      </c>
      <c r="G26" s="45">
        <v>0.67</v>
      </c>
      <c r="H26" s="45">
        <v>0.16200000000000001</v>
      </c>
    </row>
    <row r="27" spans="1:8" x14ac:dyDescent="0.35">
      <c r="A27" s="45">
        <v>725</v>
      </c>
      <c r="B27" s="45">
        <v>2</v>
      </c>
      <c r="C27" s="45" t="s">
        <v>74</v>
      </c>
      <c r="D27" s="45">
        <v>1.2</v>
      </c>
      <c r="E27" s="45">
        <v>1190</v>
      </c>
      <c r="F27" s="45">
        <v>40</v>
      </c>
      <c r="G27" s="45">
        <v>0.83</v>
      </c>
      <c r="H27" s="45">
        <v>0.16200000000000001</v>
      </c>
    </row>
    <row r="28" spans="1:8" x14ac:dyDescent="0.35">
      <c r="A28" s="45">
        <v>724</v>
      </c>
      <c r="B28" s="45">
        <v>7</v>
      </c>
      <c r="C28" s="45" t="s">
        <v>17</v>
      </c>
      <c r="D28" s="45">
        <v>2.9</v>
      </c>
      <c r="E28" s="45">
        <v>1188</v>
      </c>
      <c r="F28" s="45">
        <v>40</v>
      </c>
      <c r="G28" s="45">
        <v>1</v>
      </c>
      <c r="H28" s="45">
        <v>0.16200000000000001</v>
      </c>
    </row>
    <row r="29" spans="1:8" x14ac:dyDescent="0.35">
      <c r="A29" s="45">
        <v>723</v>
      </c>
      <c r="B29" s="45">
        <v>4</v>
      </c>
      <c r="C29" s="45" t="s">
        <v>28</v>
      </c>
      <c r="D29" s="45">
        <v>2.2999999999999998</v>
      </c>
      <c r="E29" s="45">
        <v>1191</v>
      </c>
      <c r="F29" s="45">
        <v>40</v>
      </c>
      <c r="G29" s="45">
        <v>0.75</v>
      </c>
      <c r="H29" s="45">
        <v>0.16200000000000001</v>
      </c>
    </row>
    <row r="30" spans="1:8" x14ac:dyDescent="0.35">
      <c r="A30" s="45">
        <v>722</v>
      </c>
      <c r="B30" s="45">
        <v>5</v>
      </c>
      <c r="C30" s="45" t="s">
        <v>35</v>
      </c>
      <c r="D30" s="45">
        <v>1.1000000000000001</v>
      </c>
      <c r="E30" s="45">
        <v>1188</v>
      </c>
      <c r="F30" s="45">
        <v>40</v>
      </c>
      <c r="G30" s="45">
        <v>1</v>
      </c>
      <c r="H30" s="45">
        <v>0.16200000000000001</v>
      </c>
    </row>
    <row r="31" spans="1:8" x14ac:dyDescent="0.35">
      <c r="A31" s="45">
        <v>721</v>
      </c>
      <c r="B31" s="45">
        <v>11</v>
      </c>
      <c r="C31" s="45" t="s">
        <v>23</v>
      </c>
      <c r="D31" s="45">
        <v>17.600000000000001</v>
      </c>
      <c r="E31" s="45">
        <v>1191</v>
      </c>
      <c r="F31" s="45">
        <v>40</v>
      </c>
      <c r="G31" s="45">
        <v>0.75</v>
      </c>
      <c r="H31" s="45">
        <v>0.16200000000000001</v>
      </c>
    </row>
    <row r="32" spans="1:8" x14ac:dyDescent="0.35">
      <c r="A32" s="45">
        <v>720</v>
      </c>
      <c r="B32" s="45">
        <v>3</v>
      </c>
      <c r="C32" s="45" t="s">
        <v>20</v>
      </c>
      <c r="D32" s="45">
        <v>1.1000000000000001</v>
      </c>
      <c r="E32" s="45">
        <v>1190</v>
      </c>
      <c r="F32" s="45">
        <v>40</v>
      </c>
      <c r="G32" s="45">
        <v>0.83</v>
      </c>
      <c r="H32" s="45">
        <v>0.16200000000000001</v>
      </c>
    </row>
    <row r="33" spans="1:8" x14ac:dyDescent="0.35">
      <c r="A33" s="45">
        <v>719</v>
      </c>
      <c r="B33" s="45">
        <v>11</v>
      </c>
      <c r="C33" s="45" t="s">
        <v>23</v>
      </c>
      <c r="D33" s="45">
        <v>19.3</v>
      </c>
      <c r="E33" s="45">
        <v>1191</v>
      </c>
      <c r="F33" s="45">
        <v>40</v>
      </c>
      <c r="G33" s="45">
        <v>0.75</v>
      </c>
      <c r="H33" s="45">
        <v>0.16200000000000001</v>
      </c>
    </row>
    <row r="34" spans="1:8" x14ac:dyDescent="0.35">
      <c r="A34" s="45">
        <v>718</v>
      </c>
      <c r="B34" s="45">
        <v>9</v>
      </c>
      <c r="C34" s="45" t="s">
        <v>44</v>
      </c>
      <c r="D34" s="45">
        <v>1.6</v>
      </c>
      <c r="E34" s="45">
        <v>1191</v>
      </c>
      <c r="F34" s="45">
        <v>40</v>
      </c>
      <c r="G34" s="45">
        <v>0.75</v>
      </c>
      <c r="H34" s="45">
        <v>0.16200000000000001</v>
      </c>
    </row>
    <row r="35" spans="1:8" x14ac:dyDescent="0.35">
      <c r="A35" s="45">
        <v>717</v>
      </c>
      <c r="B35" s="45">
        <v>3</v>
      </c>
      <c r="C35" s="45" t="s">
        <v>20</v>
      </c>
      <c r="D35" s="45">
        <v>1.5</v>
      </c>
      <c r="E35" s="45">
        <v>1189</v>
      </c>
      <c r="F35" s="45">
        <v>40</v>
      </c>
      <c r="G35" s="45">
        <v>0.92</v>
      </c>
      <c r="H35" s="45">
        <v>0.16200000000000001</v>
      </c>
    </row>
    <row r="36" spans="1:8" x14ac:dyDescent="0.35">
      <c r="A36" s="45">
        <v>716</v>
      </c>
      <c r="B36" s="45">
        <v>5</v>
      </c>
      <c r="C36" s="45" t="s">
        <v>35</v>
      </c>
      <c r="D36" s="45">
        <v>1.1000000000000001</v>
      </c>
      <c r="E36" s="45">
        <v>1189</v>
      </c>
      <c r="F36" s="45">
        <v>40</v>
      </c>
      <c r="G36" s="45">
        <v>0.92</v>
      </c>
      <c r="H36" s="45">
        <v>0.16200000000000001</v>
      </c>
    </row>
    <row r="37" spans="1:8" x14ac:dyDescent="0.35">
      <c r="A37" s="45">
        <v>715</v>
      </c>
      <c r="B37" s="45">
        <v>11</v>
      </c>
      <c r="C37" s="45" t="s">
        <v>23</v>
      </c>
      <c r="D37" s="45">
        <v>29.3</v>
      </c>
      <c r="E37" s="45">
        <v>1189</v>
      </c>
      <c r="F37" s="45">
        <v>40</v>
      </c>
      <c r="G37" s="45">
        <v>0.92</v>
      </c>
      <c r="H37" s="45">
        <v>0.16200000000000001</v>
      </c>
    </row>
    <row r="38" spans="1:8" x14ac:dyDescent="0.35">
      <c r="A38" s="45">
        <v>714</v>
      </c>
      <c r="B38" s="45">
        <v>11</v>
      </c>
      <c r="C38" s="45" t="s">
        <v>23</v>
      </c>
      <c r="D38" s="45">
        <v>14.1</v>
      </c>
      <c r="E38" s="45">
        <v>1189</v>
      </c>
      <c r="F38" s="45">
        <v>40</v>
      </c>
      <c r="G38" s="45">
        <v>0.92</v>
      </c>
      <c r="H38" s="45">
        <v>0.16200000000000001</v>
      </c>
    </row>
    <row r="39" spans="1:8" x14ac:dyDescent="0.35">
      <c r="A39" s="45">
        <v>713</v>
      </c>
      <c r="B39" s="45">
        <v>11</v>
      </c>
      <c r="C39" s="45" t="s">
        <v>23</v>
      </c>
      <c r="D39" s="45">
        <v>13.9</v>
      </c>
      <c r="E39" s="45">
        <v>1191</v>
      </c>
      <c r="F39" s="45">
        <v>40</v>
      </c>
      <c r="G39" s="45">
        <v>0.75</v>
      </c>
      <c r="H39" s="45">
        <v>0.16200000000000001</v>
      </c>
    </row>
    <row r="40" spans="1:8" x14ac:dyDescent="0.35">
      <c r="A40" s="45">
        <v>712</v>
      </c>
      <c r="B40" s="45">
        <v>11</v>
      </c>
      <c r="C40" s="45" t="s">
        <v>23</v>
      </c>
      <c r="D40" s="45">
        <v>28.7</v>
      </c>
      <c r="E40" s="45">
        <v>1189</v>
      </c>
      <c r="F40" s="45">
        <v>40</v>
      </c>
      <c r="G40" s="45">
        <v>0.92</v>
      </c>
      <c r="H40" s="45">
        <v>0.16200000000000001</v>
      </c>
    </row>
    <row r="41" spans="1:8" x14ac:dyDescent="0.35">
      <c r="A41" s="45">
        <v>711</v>
      </c>
      <c r="B41" s="45">
        <v>3</v>
      </c>
      <c r="C41" s="45" t="s">
        <v>20</v>
      </c>
      <c r="D41" s="45">
        <v>3.3</v>
      </c>
      <c r="E41" s="45">
        <v>1189</v>
      </c>
      <c r="F41" s="45">
        <v>40</v>
      </c>
      <c r="G41" s="45">
        <v>0.92</v>
      </c>
      <c r="H41" s="45">
        <v>0.16200000000000001</v>
      </c>
    </row>
    <row r="42" spans="1:8" x14ac:dyDescent="0.35">
      <c r="A42" s="45">
        <v>710</v>
      </c>
      <c r="B42" s="45">
        <v>11</v>
      </c>
      <c r="C42" s="45" t="s">
        <v>23</v>
      </c>
      <c r="D42" s="45">
        <v>18.100000000000001</v>
      </c>
      <c r="E42" s="45">
        <v>1189</v>
      </c>
      <c r="F42" s="45">
        <v>40</v>
      </c>
      <c r="G42" s="45">
        <v>0.92</v>
      </c>
      <c r="H42" s="45">
        <v>0.16200000000000001</v>
      </c>
    </row>
    <row r="43" spans="1:8" x14ac:dyDescent="0.35">
      <c r="A43" s="45">
        <v>709</v>
      </c>
      <c r="B43" s="45">
        <v>11</v>
      </c>
      <c r="C43" s="45" t="s">
        <v>23</v>
      </c>
      <c r="D43" s="45">
        <v>18</v>
      </c>
      <c r="E43" s="45">
        <v>1189</v>
      </c>
      <c r="F43" s="45">
        <v>40</v>
      </c>
      <c r="G43" s="45">
        <v>0.92</v>
      </c>
      <c r="H43" s="45">
        <v>0.16200000000000001</v>
      </c>
    </row>
    <row r="44" spans="1:8" x14ac:dyDescent="0.35">
      <c r="A44" s="45">
        <v>708</v>
      </c>
      <c r="B44" s="45">
        <v>5</v>
      </c>
      <c r="C44" s="45" t="s">
        <v>35</v>
      </c>
      <c r="D44" s="45">
        <v>1.2</v>
      </c>
      <c r="E44" s="45">
        <v>1190</v>
      </c>
      <c r="F44" s="45">
        <v>40</v>
      </c>
      <c r="G44" s="45">
        <v>0.83</v>
      </c>
      <c r="H44" s="45">
        <v>0.16200000000000001</v>
      </c>
    </row>
    <row r="45" spans="1:8" x14ac:dyDescent="0.35">
      <c r="A45" s="45">
        <v>707</v>
      </c>
      <c r="B45" s="45">
        <v>1</v>
      </c>
      <c r="C45" s="45" t="s">
        <v>41</v>
      </c>
      <c r="D45" s="45">
        <v>2.9</v>
      </c>
      <c r="E45" s="45">
        <v>1190</v>
      </c>
      <c r="F45" s="45">
        <v>40</v>
      </c>
      <c r="G45" s="45">
        <v>0.83</v>
      </c>
      <c r="H45" s="45">
        <v>0.16200000000000001</v>
      </c>
    </row>
    <row r="46" spans="1:8" x14ac:dyDescent="0.35">
      <c r="A46" s="45">
        <v>706</v>
      </c>
      <c r="B46" s="45">
        <v>11</v>
      </c>
      <c r="C46" s="45" t="s">
        <v>23</v>
      </c>
      <c r="D46" s="45">
        <v>18.2</v>
      </c>
      <c r="E46" s="45">
        <v>1191</v>
      </c>
      <c r="F46" s="45">
        <v>40</v>
      </c>
      <c r="G46" s="45">
        <v>0.75</v>
      </c>
      <c r="H46" s="45">
        <v>0.16200000000000001</v>
      </c>
    </row>
    <row r="47" spans="1:8" x14ac:dyDescent="0.35">
      <c r="A47" s="45">
        <v>705</v>
      </c>
      <c r="B47" s="45">
        <v>8</v>
      </c>
      <c r="C47" s="45" t="s">
        <v>38</v>
      </c>
      <c r="D47" s="45">
        <v>2.1</v>
      </c>
      <c r="E47" s="45">
        <v>1189</v>
      </c>
      <c r="F47" s="45">
        <v>40</v>
      </c>
      <c r="G47" s="45">
        <v>0.92</v>
      </c>
      <c r="H47" s="45">
        <v>0.16200000000000001</v>
      </c>
    </row>
    <row r="48" spans="1:8" x14ac:dyDescent="0.35">
      <c r="A48" s="45">
        <v>704</v>
      </c>
      <c r="B48" s="45">
        <v>5</v>
      </c>
      <c r="C48" s="45" t="s">
        <v>35</v>
      </c>
      <c r="D48" s="45">
        <v>1.1000000000000001</v>
      </c>
      <c r="E48" s="45">
        <v>1190</v>
      </c>
      <c r="F48" s="45">
        <v>40</v>
      </c>
      <c r="G48" s="45">
        <v>0.83</v>
      </c>
      <c r="H48" s="45">
        <v>0.16200000000000001</v>
      </c>
    </row>
    <row r="49" spans="1:8" x14ac:dyDescent="0.35">
      <c r="A49" s="45">
        <v>703</v>
      </c>
      <c r="B49" s="45">
        <v>4</v>
      </c>
      <c r="C49" s="45" t="s">
        <v>28</v>
      </c>
      <c r="D49" s="45">
        <v>2.2999999999999998</v>
      </c>
      <c r="E49" s="45">
        <v>1191</v>
      </c>
      <c r="F49" s="45">
        <v>40</v>
      </c>
      <c r="G49" s="45">
        <v>0.75</v>
      </c>
      <c r="H49" s="45">
        <v>0.16200000000000001</v>
      </c>
    </row>
    <row r="50" spans="1:8" x14ac:dyDescent="0.35">
      <c r="A50" s="45">
        <v>702</v>
      </c>
      <c r="B50" s="45">
        <v>2</v>
      </c>
      <c r="C50" s="45" t="s">
        <v>74</v>
      </c>
      <c r="D50" s="45">
        <v>1.4</v>
      </c>
      <c r="E50" s="45">
        <v>1192</v>
      </c>
      <c r="F50" s="45">
        <v>40</v>
      </c>
      <c r="G50" s="45">
        <v>0.67</v>
      </c>
      <c r="H50" s="45">
        <v>0.16200000000000001</v>
      </c>
    </row>
    <row r="51" spans="1:8" x14ac:dyDescent="0.35">
      <c r="A51" s="45">
        <v>701</v>
      </c>
      <c r="B51" s="45">
        <v>6</v>
      </c>
      <c r="C51" s="45" t="s">
        <v>14</v>
      </c>
      <c r="D51" s="45">
        <v>1.2</v>
      </c>
      <c r="E51" s="45">
        <v>1188</v>
      </c>
      <c r="F51" s="45">
        <v>40</v>
      </c>
      <c r="G51" s="45">
        <v>1</v>
      </c>
      <c r="H51" s="45">
        <v>0.16200000000000001</v>
      </c>
    </row>
    <row r="52" spans="1:8" x14ac:dyDescent="0.35">
      <c r="A52" s="44" t="s">
        <v>1626</v>
      </c>
      <c r="B52" s="44" t="s">
        <v>1627</v>
      </c>
      <c r="C52" s="44" t="s">
        <v>4</v>
      </c>
      <c r="D52" s="44" t="s">
        <v>5</v>
      </c>
      <c r="E52" s="44" t="s">
        <v>6</v>
      </c>
      <c r="F52" s="44" t="s">
        <v>1629</v>
      </c>
      <c r="G52" s="44" t="s">
        <v>1628</v>
      </c>
      <c r="H52" s="44" t="s">
        <v>10</v>
      </c>
    </row>
    <row r="53" spans="1:8" x14ac:dyDescent="0.35">
      <c r="A53" s="45">
        <v>700</v>
      </c>
      <c r="B53" s="45">
        <v>7</v>
      </c>
      <c r="C53" s="45" t="s">
        <v>17</v>
      </c>
      <c r="D53" s="45">
        <v>2.9</v>
      </c>
      <c r="E53" s="45">
        <v>1038</v>
      </c>
      <c r="F53" s="45">
        <v>35</v>
      </c>
      <c r="G53" s="45">
        <v>1.1399999999999999</v>
      </c>
      <c r="H53" s="45">
        <v>0.14099999999999999</v>
      </c>
    </row>
    <row r="54" spans="1:8" x14ac:dyDescent="0.35">
      <c r="A54" s="45">
        <v>699</v>
      </c>
      <c r="B54" s="45">
        <v>6</v>
      </c>
      <c r="C54" s="45" t="s">
        <v>14</v>
      </c>
      <c r="D54" s="45">
        <v>1.1000000000000001</v>
      </c>
      <c r="E54" s="45">
        <v>1040</v>
      </c>
      <c r="F54" s="45">
        <v>35</v>
      </c>
      <c r="G54" s="45">
        <v>0.95</v>
      </c>
      <c r="H54" s="45">
        <v>0.14099999999999999</v>
      </c>
    </row>
    <row r="55" spans="1:8" x14ac:dyDescent="0.35">
      <c r="A55" s="45">
        <v>698</v>
      </c>
      <c r="B55" s="45">
        <v>1</v>
      </c>
      <c r="C55" s="45" t="s">
        <v>41</v>
      </c>
      <c r="D55" s="45">
        <v>2.8</v>
      </c>
      <c r="E55" s="45">
        <v>1039</v>
      </c>
      <c r="F55" s="45">
        <v>35</v>
      </c>
      <c r="G55" s="45">
        <v>1.05</v>
      </c>
      <c r="H55" s="45">
        <v>0.14099999999999999</v>
      </c>
    </row>
    <row r="56" spans="1:8" x14ac:dyDescent="0.35">
      <c r="A56" s="45">
        <v>697</v>
      </c>
      <c r="B56" s="45">
        <v>11</v>
      </c>
      <c r="C56" s="45" t="s">
        <v>23</v>
      </c>
      <c r="D56" s="45">
        <v>19.5</v>
      </c>
      <c r="E56" s="45">
        <v>1038</v>
      </c>
      <c r="F56" s="45">
        <v>35</v>
      </c>
      <c r="G56" s="45">
        <v>1.1399999999999999</v>
      </c>
      <c r="H56" s="45">
        <v>0.14099999999999999</v>
      </c>
    </row>
    <row r="57" spans="1:8" x14ac:dyDescent="0.35">
      <c r="A57" s="45">
        <v>696</v>
      </c>
      <c r="B57" s="45">
        <v>11</v>
      </c>
      <c r="C57" s="45" t="s">
        <v>23</v>
      </c>
      <c r="D57" s="45">
        <v>13.9</v>
      </c>
      <c r="E57" s="45">
        <v>1040</v>
      </c>
      <c r="F57" s="45">
        <v>35</v>
      </c>
      <c r="G57" s="45">
        <v>0.95</v>
      </c>
      <c r="H57" s="45">
        <v>0.14099999999999999</v>
      </c>
    </row>
    <row r="58" spans="1:8" x14ac:dyDescent="0.35">
      <c r="A58" s="45">
        <v>695</v>
      </c>
      <c r="B58" s="45">
        <v>1</v>
      </c>
      <c r="C58" s="45" t="s">
        <v>41</v>
      </c>
      <c r="D58" s="45">
        <v>2.8</v>
      </c>
      <c r="E58" s="45">
        <v>1039</v>
      </c>
      <c r="F58" s="45">
        <v>35</v>
      </c>
      <c r="G58" s="45">
        <v>1.05</v>
      </c>
      <c r="H58" s="45">
        <v>0.14099999999999999</v>
      </c>
    </row>
    <row r="59" spans="1:8" x14ac:dyDescent="0.35">
      <c r="A59" s="45">
        <v>694</v>
      </c>
      <c r="B59" s="45">
        <v>5</v>
      </c>
      <c r="C59" s="45" t="s">
        <v>35</v>
      </c>
      <c r="D59" s="45">
        <v>1.1000000000000001</v>
      </c>
      <c r="E59" s="45">
        <v>1039</v>
      </c>
      <c r="F59" s="45">
        <v>35</v>
      </c>
      <c r="G59" s="45">
        <v>1.05</v>
      </c>
      <c r="H59" s="45">
        <v>0.14099999999999999</v>
      </c>
    </row>
    <row r="60" spans="1:8" x14ac:dyDescent="0.35">
      <c r="A60" s="45">
        <v>693</v>
      </c>
      <c r="B60" s="45">
        <v>11</v>
      </c>
      <c r="C60" s="45" t="s">
        <v>23</v>
      </c>
      <c r="D60" s="45">
        <v>35.4</v>
      </c>
      <c r="E60" s="45">
        <v>1038</v>
      </c>
      <c r="F60" s="45">
        <v>35</v>
      </c>
      <c r="G60" s="45">
        <v>1.1399999999999999</v>
      </c>
      <c r="H60" s="45">
        <v>0.14099999999999999</v>
      </c>
    </row>
    <row r="61" spans="1:8" x14ac:dyDescent="0.35">
      <c r="A61" s="45">
        <v>692</v>
      </c>
      <c r="B61" s="45">
        <v>9</v>
      </c>
      <c r="C61" s="45" t="s">
        <v>44</v>
      </c>
      <c r="D61" s="45">
        <v>1.5</v>
      </c>
      <c r="E61" s="45">
        <v>1040</v>
      </c>
      <c r="F61" s="45">
        <v>35</v>
      </c>
      <c r="G61" s="45">
        <v>0.95</v>
      </c>
      <c r="H61" s="45">
        <v>0.14099999999999999</v>
      </c>
    </row>
    <row r="62" spans="1:8" x14ac:dyDescent="0.35">
      <c r="A62" s="45">
        <v>691</v>
      </c>
      <c r="B62" s="45">
        <v>4</v>
      </c>
      <c r="C62" s="45" t="s">
        <v>28</v>
      </c>
      <c r="D62" s="45">
        <v>2.2999999999999998</v>
      </c>
      <c r="E62" s="45">
        <v>1041</v>
      </c>
      <c r="F62" s="45">
        <v>35</v>
      </c>
      <c r="G62" s="45">
        <v>0.86</v>
      </c>
      <c r="H62" s="45">
        <v>0.14199999999999999</v>
      </c>
    </row>
    <row r="63" spans="1:8" x14ac:dyDescent="0.35">
      <c r="A63" s="45">
        <v>690</v>
      </c>
      <c r="B63" s="45">
        <v>11</v>
      </c>
      <c r="C63" s="45" t="s">
        <v>23</v>
      </c>
      <c r="D63" s="45">
        <v>18.899999999999999</v>
      </c>
      <c r="E63" s="45">
        <v>1040</v>
      </c>
      <c r="F63" s="45">
        <v>35</v>
      </c>
      <c r="G63" s="45">
        <v>0.95</v>
      </c>
      <c r="H63" s="45">
        <v>0.14099999999999999</v>
      </c>
    </row>
    <row r="64" spans="1:8" x14ac:dyDescent="0.35">
      <c r="A64" s="45">
        <v>689</v>
      </c>
      <c r="B64" s="45">
        <v>1</v>
      </c>
      <c r="C64" s="45" t="s">
        <v>41</v>
      </c>
      <c r="D64" s="45">
        <v>2.8</v>
      </c>
      <c r="E64" s="45">
        <v>1041</v>
      </c>
      <c r="F64" s="45">
        <v>35</v>
      </c>
      <c r="G64" s="45">
        <v>0.86</v>
      </c>
      <c r="H64" s="45">
        <v>0.14199999999999999</v>
      </c>
    </row>
    <row r="65" spans="1:8" x14ac:dyDescent="0.35">
      <c r="A65" s="45">
        <v>688</v>
      </c>
      <c r="B65" s="45">
        <v>8</v>
      </c>
      <c r="C65" s="45" t="s">
        <v>38</v>
      </c>
      <c r="D65" s="45">
        <v>2.1</v>
      </c>
      <c r="E65" s="45">
        <v>1039</v>
      </c>
      <c r="F65" s="45">
        <v>35</v>
      </c>
      <c r="G65" s="45">
        <v>1.05</v>
      </c>
      <c r="H65" s="45">
        <v>0.14099999999999999</v>
      </c>
    </row>
    <row r="66" spans="1:8" x14ac:dyDescent="0.35">
      <c r="A66" s="45">
        <v>687</v>
      </c>
      <c r="B66" s="45">
        <v>2</v>
      </c>
      <c r="C66" s="45" t="s">
        <v>74</v>
      </c>
      <c r="D66" s="45">
        <v>1.1000000000000001</v>
      </c>
      <c r="E66" s="45">
        <v>1039</v>
      </c>
      <c r="F66" s="45">
        <v>35</v>
      </c>
      <c r="G66" s="45">
        <v>1.05</v>
      </c>
      <c r="H66" s="45">
        <v>0.14099999999999999</v>
      </c>
    </row>
    <row r="67" spans="1:8" x14ac:dyDescent="0.35">
      <c r="A67" s="45">
        <v>686</v>
      </c>
      <c r="B67" s="45">
        <v>1</v>
      </c>
      <c r="C67" s="45" t="s">
        <v>41</v>
      </c>
      <c r="D67" s="45">
        <v>2.9</v>
      </c>
      <c r="E67" s="45">
        <v>1042</v>
      </c>
      <c r="F67" s="45">
        <v>35</v>
      </c>
      <c r="G67" s="45">
        <v>0.76</v>
      </c>
      <c r="H67" s="45">
        <v>0.14199999999999999</v>
      </c>
    </row>
    <row r="68" spans="1:8" x14ac:dyDescent="0.35">
      <c r="A68" s="45">
        <v>685</v>
      </c>
      <c r="B68" s="45">
        <v>11</v>
      </c>
      <c r="C68" s="45" t="s">
        <v>23</v>
      </c>
      <c r="D68" s="45">
        <v>20.399999999999999</v>
      </c>
      <c r="E68" s="45">
        <v>1039</v>
      </c>
      <c r="F68" s="45">
        <v>35</v>
      </c>
      <c r="G68" s="45">
        <v>1.05</v>
      </c>
      <c r="H68" s="45">
        <v>0.14099999999999999</v>
      </c>
    </row>
    <row r="69" spans="1:8" x14ac:dyDescent="0.35">
      <c r="A69" s="45">
        <v>684</v>
      </c>
      <c r="B69" s="45">
        <v>11</v>
      </c>
      <c r="C69" s="45" t="s">
        <v>23</v>
      </c>
      <c r="D69" s="45">
        <v>19</v>
      </c>
      <c r="E69" s="45">
        <v>1039</v>
      </c>
      <c r="F69" s="45">
        <v>35</v>
      </c>
      <c r="G69" s="45">
        <v>1.05</v>
      </c>
      <c r="H69" s="45">
        <v>0.14099999999999999</v>
      </c>
    </row>
    <row r="70" spans="1:8" x14ac:dyDescent="0.35">
      <c r="A70" s="45">
        <v>683</v>
      </c>
      <c r="B70" s="45">
        <v>11</v>
      </c>
      <c r="C70" s="45" t="s">
        <v>23</v>
      </c>
      <c r="D70" s="45">
        <v>14.7</v>
      </c>
      <c r="E70" s="45">
        <v>1038</v>
      </c>
      <c r="F70" s="45">
        <v>35</v>
      </c>
      <c r="G70" s="45">
        <v>1.1399999999999999</v>
      </c>
      <c r="H70" s="45">
        <v>0.14099999999999999</v>
      </c>
    </row>
    <row r="71" spans="1:8" x14ac:dyDescent="0.35">
      <c r="A71" s="45">
        <v>682</v>
      </c>
      <c r="B71" s="45">
        <v>11</v>
      </c>
      <c r="C71" s="45" t="s">
        <v>23</v>
      </c>
      <c r="D71" s="45">
        <v>17.8</v>
      </c>
      <c r="E71" s="45">
        <v>1041</v>
      </c>
      <c r="F71" s="45">
        <v>35</v>
      </c>
      <c r="G71" s="45">
        <v>0.86</v>
      </c>
      <c r="H71" s="45">
        <v>0.14199999999999999</v>
      </c>
    </row>
    <row r="72" spans="1:8" x14ac:dyDescent="0.35">
      <c r="A72" s="45">
        <v>681</v>
      </c>
      <c r="B72" s="45">
        <v>7</v>
      </c>
      <c r="C72" s="45" t="s">
        <v>17</v>
      </c>
      <c r="D72" s="45">
        <v>2.9</v>
      </c>
      <c r="E72" s="45">
        <v>1041</v>
      </c>
      <c r="F72" s="45">
        <v>35</v>
      </c>
      <c r="G72" s="45">
        <v>0.86</v>
      </c>
      <c r="H72" s="45">
        <v>0.14199999999999999</v>
      </c>
    </row>
    <row r="73" spans="1:8" x14ac:dyDescent="0.35">
      <c r="A73" s="45">
        <v>680</v>
      </c>
      <c r="B73" s="45">
        <v>6</v>
      </c>
      <c r="C73" s="45" t="s">
        <v>14</v>
      </c>
      <c r="D73" s="45">
        <v>1.3</v>
      </c>
      <c r="E73" s="45">
        <v>1038</v>
      </c>
      <c r="F73" s="45">
        <v>35</v>
      </c>
      <c r="G73" s="45">
        <v>1.1399999999999999</v>
      </c>
      <c r="H73" s="45">
        <v>0.14099999999999999</v>
      </c>
    </row>
    <row r="74" spans="1:8" x14ac:dyDescent="0.35">
      <c r="A74" s="45">
        <v>679</v>
      </c>
      <c r="B74" s="45">
        <v>3</v>
      </c>
      <c r="C74" s="45" t="s">
        <v>20</v>
      </c>
      <c r="D74" s="45">
        <v>1.3</v>
      </c>
      <c r="E74" s="45">
        <v>1039</v>
      </c>
      <c r="F74" s="45">
        <v>35</v>
      </c>
      <c r="G74" s="45">
        <v>1.05</v>
      </c>
      <c r="H74" s="45">
        <v>0.14099999999999999</v>
      </c>
    </row>
    <row r="75" spans="1:8" x14ac:dyDescent="0.35">
      <c r="A75" s="45">
        <v>678</v>
      </c>
      <c r="B75" s="45">
        <v>9</v>
      </c>
      <c r="C75" s="45" t="s">
        <v>44</v>
      </c>
      <c r="D75" s="45">
        <v>1.4</v>
      </c>
      <c r="E75" s="45">
        <v>1039</v>
      </c>
      <c r="F75" s="45">
        <v>35</v>
      </c>
      <c r="G75" s="45">
        <v>1.05</v>
      </c>
      <c r="H75" s="45">
        <v>0.14099999999999999</v>
      </c>
    </row>
    <row r="76" spans="1:8" x14ac:dyDescent="0.35">
      <c r="A76" s="45">
        <v>677</v>
      </c>
      <c r="B76" s="45">
        <v>1</v>
      </c>
      <c r="C76" s="45" t="s">
        <v>41</v>
      </c>
      <c r="D76" s="45">
        <v>2.9</v>
      </c>
      <c r="E76" s="45">
        <v>1038</v>
      </c>
      <c r="F76" s="45">
        <v>35</v>
      </c>
      <c r="G76" s="45">
        <v>1.1399999999999999</v>
      </c>
      <c r="H76" s="45">
        <v>0.14099999999999999</v>
      </c>
    </row>
    <row r="77" spans="1:8" x14ac:dyDescent="0.35">
      <c r="A77" s="45">
        <v>676</v>
      </c>
      <c r="B77" s="45">
        <v>11</v>
      </c>
      <c r="C77" s="45" t="s">
        <v>23</v>
      </c>
      <c r="D77" s="45">
        <v>20.2</v>
      </c>
      <c r="E77" s="45">
        <v>1040</v>
      </c>
      <c r="F77" s="45">
        <v>35</v>
      </c>
      <c r="G77" s="45">
        <v>0.95</v>
      </c>
      <c r="H77" s="45">
        <v>0.14099999999999999</v>
      </c>
    </row>
    <row r="78" spans="1:8" x14ac:dyDescent="0.35">
      <c r="A78" s="45">
        <v>675</v>
      </c>
      <c r="B78" s="45">
        <v>4</v>
      </c>
      <c r="C78" s="45" t="s">
        <v>28</v>
      </c>
      <c r="D78" s="45">
        <v>2.2999999999999998</v>
      </c>
      <c r="E78" s="45">
        <v>1041</v>
      </c>
      <c r="F78" s="45">
        <v>35</v>
      </c>
      <c r="G78" s="45">
        <v>0.86</v>
      </c>
      <c r="H78" s="45">
        <v>0.14199999999999999</v>
      </c>
    </row>
    <row r="79" spans="1:8" x14ac:dyDescent="0.35">
      <c r="A79" s="45">
        <v>674</v>
      </c>
      <c r="B79" s="45">
        <v>12</v>
      </c>
      <c r="C79" s="45" t="s">
        <v>59</v>
      </c>
      <c r="D79" s="45">
        <v>0</v>
      </c>
      <c r="E79" s="45">
        <v>1041</v>
      </c>
      <c r="F79" s="45">
        <v>35</v>
      </c>
      <c r="G79" s="45">
        <v>0.86</v>
      </c>
      <c r="H79" s="45">
        <v>0.14199999999999999</v>
      </c>
    </row>
    <row r="80" spans="1:8" x14ac:dyDescent="0.35">
      <c r="A80" s="45">
        <v>673</v>
      </c>
      <c r="B80" s="45">
        <v>1</v>
      </c>
      <c r="C80" s="45" t="s">
        <v>41</v>
      </c>
      <c r="D80" s="45">
        <v>2.9</v>
      </c>
      <c r="E80" s="45">
        <v>1039</v>
      </c>
      <c r="F80" s="45">
        <v>35</v>
      </c>
      <c r="G80" s="45">
        <v>1.05</v>
      </c>
      <c r="H80" s="45">
        <v>0.14099999999999999</v>
      </c>
    </row>
    <row r="81" spans="1:8" x14ac:dyDescent="0.35">
      <c r="A81" s="45">
        <v>672</v>
      </c>
      <c r="B81" s="45">
        <v>5</v>
      </c>
      <c r="C81" s="45" t="s">
        <v>35</v>
      </c>
      <c r="D81" s="45">
        <v>1.1000000000000001</v>
      </c>
      <c r="E81" s="45">
        <v>1039</v>
      </c>
      <c r="F81" s="45">
        <v>35</v>
      </c>
      <c r="G81" s="45">
        <v>1.05</v>
      </c>
      <c r="H81" s="45">
        <v>0.14099999999999999</v>
      </c>
    </row>
    <row r="82" spans="1:8" x14ac:dyDescent="0.35">
      <c r="A82" s="45">
        <v>671</v>
      </c>
      <c r="B82" s="45">
        <v>11</v>
      </c>
      <c r="C82" s="45" t="s">
        <v>23</v>
      </c>
      <c r="D82" s="45">
        <v>14.1</v>
      </c>
      <c r="E82" s="45">
        <v>1038</v>
      </c>
      <c r="F82" s="45">
        <v>35</v>
      </c>
      <c r="G82" s="45">
        <v>1.1399999999999999</v>
      </c>
      <c r="H82" s="45">
        <v>0.14099999999999999</v>
      </c>
    </row>
    <row r="83" spans="1:8" x14ac:dyDescent="0.35">
      <c r="A83" s="45">
        <v>670</v>
      </c>
      <c r="B83" s="45">
        <v>2</v>
      </c>
      <c r="C83" s="45" t="s">
        <v>74</v>
      </c>
      <c r="D83" s="45">
        <v>1.1000000000000001</v>
      </c>
      <c r="E83" s="45">
        <v>1039</v>
      </c>
      <c r="F83" s="45">
        <v>35</v>
      </c>
      <c r="G83" s="45">
        <v>1.05</v>
      </c>
      <c r="H83" s="45">
        <v>0.14099999999999999</v>
      </c>
    </row>
    <row r="84" spans="1:8" x14ac:dyDescent="0.35">
      <c r="A84" s="45">
        <v>669</v>
      </c>
      <c r="B84" s="45">
        <v>8</v>
      </c>
      <c r="C84" s="45" t="s">
        <v>38</v>
      </c>
      <c r="D84" s="45">
        <v>2.1</v>
      </c>
      <c r="E84" s="45">
        <v>1040</v>
      </c>
      <c r="F84" s="45">
        <v>35</v>
      </c>
      <c r="G84" s="45">
        <v>0.95</v>
      </c>
      <c r="H84" s="45">
        <v>0.14099999999999999</v>
      </c>
    </row>
    <row r="85" spans="1:8" x14ac:dyDescent="0.35">
      <c r="A85" s="45">
        <v>668</v>
      </c>
      <c r="B85" s="45">
        <v>11</v>
      </c>
      <c r="C85" s="45" t="s">
        <v>23</v>
      </c>
      <c r="D85" s="45">
        <v>20.5</v>
      </c>
      <c r="E85" s="45">
        <v>1039</v>
      </c>
      <c r="F85" s="45">
        <v>35</v>
      </c>
      <c r="G85" s="45">
        <v>1.05</v>
      </c>
      <c r="H85" s="45">
        <v>0.14099999999999999</v>
      </c>
    </row>
    <row r="86" spans="1:8" x14ac:dyDescent="0.35">
      <c r="A86" s="45">
        <v>667</v>
      </c>
      <c r="B86" s="45">
        <v>4</v>
      </c>
      <c r="C86" s="45" t="s">
        <v>28</v>
      </c>
      <c r="D86" s="45">
        <v>2.2000000000000002</v>
      </c>
      <c r="E86" s="45">
        <v>1039</v>
      </c>
      <c r="F86" s="45">
        <v>35</v>
      </c>
      <c r="G86" s="45">
        <v>1.05</v>
      </c>
      <c r="H86" s="45">
        <v>0.14099999999999999</v>
      </c>
    </row>
    <row r="87" spans="1:8" x14ac:dyDescent="0.35">
      <c r="A87" s="45">
        <v>666</v>
      </c>
      <c r="B87" s="45">
        <v>8</v>
      </c>
      <c r="C87" s="45" t="s">
        <v>38</v>
      </c>
      <c r="D87" s="45">
        <v>2.2999999999999998</v>
      </c>
      <c r="E87" s="45">
        <v>1039</v>
      </c>
      <c r="F87" s="45">
        <v>35</v>
      </c>
      <c r="G87" s="45">
        <v>1.05</v>
      </c>
      <c r="H87" s="45">
        <v>0.14099999999999999</v>
      </c>
    </row>
    <row r="88" spans="1:8" x14ac:dyDescent="0.35">
      <c r="A88" s="45">
        <v>665</v>
      </c>
      <c r="B88" s="45">
        <v>1</v>
      </c>
      <c r="C88" s="45" t="s">
        <v>41</v>
      </c>
      <c r="D88" s="45">
        <v>2.9</v>
      </c>
      <c r="E88" s="45">
        <v>1040</v>
      </c>
      <c r="F88" s="45">
        <v>35</v>
      </c>
      <c r="G88" s="45">
        <v>0.95</v>
      </c>
      <c r="H88" s="45">
        <v>0.14099999999999999</v>
      </c>
    </row>
    <row r="89" spans="1:8" x14ac:dyDescent="0.35">
      <c r="A89" s="45">
        <v>664</v>
      </c>
      <c r="B89" s="45">
        <v>11</v>
      </c>
      <c r="C89" s="45" t="s">
        <v>23</v>
      </c>
      <c r="D89" s="45">
        <v>6.4</v>
      </c>
      <c r="E89" s="45">
        <v>1041</v>
      </c>
      <c r="F89" s="45">
        <v>35</v>
      </c>
      <c r="G89" s="45">
        <v>0.86</v>
      </c>
      <c r="H89" s="45">
        <v>0.14199999999999999</v>
      </c>
    </row>
    <row r="90" spans="1:8" x14ac:dyDescent="0.35">
      <c r="A90" s="45">
        <v>663</v>
      </c>
      <c r="B90" s="45">
        <v>4</v>
      </c>
      <c r="C90" s="45" t="s">
        <v>28</v>
      </c>
      <c r="D90" s="45">
        <v>2.2999999999999998</v>
      </c>
      <c r="E90" s="45">
        <v>1041</v>
      </c>
      <c r="F90" s="45">
        <v>35</v>
      </c>
      <c r="G90" s="45">
        <v>0.86</v>
      </c>
      <c r="H90" s="45">
        <v>0.14199999999999999</v>
      </c>
    </row>
    <row r="91" spans="1:8" x14ac:dyDescent="0.35">
      <c r="A91" s="45">
        <v>662</v>
      </c>
      <c r="B91" s="45">
        <v>6</v>
      </c>
      <c r="C91" s="45" t="s">
        <v>14</v>
      </c>
      <c r="D91" s="45">
        <v>1.3</v>
      </c>
      <c r="E91" s="45">
        <v>1040</v>
      </c>
      <c r="F91" s="45">
        <v>35</v>
      </c>
      <c r="G91" s="45">
        <v>0.95</v>
      </c>
      <c r="H91" s="45">
        <v>0.14099999999999999</v>
      </c>
    </row>
    <row r="92" spans="1:8" x14ac:dyDescent="0.35">
      <c r="A92" s="45">
        <v>661</v>
      </c>
      <c r="B92" s="45">
        <v>11</v>
      </c>
      <c r="C92" s="45" t="s">
        <v>23</v>
      </c>
      <c r="D92" s="45">
        <v>15.5</v>
      </c>
      <c r="E92" s="45">
        <v>1042</v>
      </c>
      <c r="F92" s="45">
        <v>35</v>
      </c>
      <c r="G92" s="45">
        <v>0.76</v>
      </c>
      <c r="H92" s="45">
        <v>0.14199999999999999</v>
      </c>
    </row>
    <row r="93" spans="1:8" x14ac:dyDescent="0.35">
      <c r="A93" s="45">
        <v>660</v>
      </c>
      <c r="B93" s="45">
        <v>3</v>
      </c>
      <c r="C93" s="45" t="s">
        <v>20</v>
      </c>
      <c r="D93" s="45">
        <v>0.9</v>
      </c>
      <c r="E93" s="45">
        <v>1040</v>
      </c>
      <c r="F93" s="45">
        <v>35</v>
      </c>
      <c r="G93" s="45">
        <v>0.95</v>
      </c>
      <c r="H93" s="45">
        <v>0.14099999999999999</v>
      </c>
    </row>
    <row r="94" spans="1:8" x14ac:dyDescent="0.35">
      <c r="A94" s="45">
        <v>659</v>
      </c>
      <c r="B94" s="45">
        <v>7</v>
      </c>
      <c r="C94" s="45" t="s">
        <v>17</v>
      </c>
      <c r="D94" s="45">
        <v>2.8</v>
      </c>
      <c r="E94" s="45">
        <v>1040</v>
      </c>
      <c r="F94" s="45">
        <v>35</v>
      </c>
      <c r="G94" s="45">
        <v>0.95</v>
      </c>
      <c r="H94" s="45">
        <v>0.14099999999999999</v>
      </c>
    </row>
    <row r="95" spans="1:8" x14ac:dyDescent="0.35">
      <c r="A95" s="45">
        <v>658</v>
      </c>
      <c r="B95" s="45">
        <v>11</v>
      </c>
      <c r="C95" s="45" t="s">
        <v>23</v>
      </c>
      <c r="D95" s="45">
        <v>14.1</v>
      </c>
      <c r="E95" s="45">
        <v>1038</v>
      </c>
      <c r="F95" s="45">
        <v>35</v>
      </c>
      <c r="G95" s="45">
        <v>1.1399999999999999</v>
      </c>
      <c r="H95" s="45">
        <v>0.14099999999999999</v>
      </c>
    </row>
    <row r="96" spans="1:8" x14ac:dyDescent="0.35">
      <c r="A96" s="45">
        <v>657</v>
      </c>
      <c r="B96" s="45">
        <v>9</v>
      </c>
      <c r="C96" s="45" t="s">
        <v>44</v>
      </c>
      <c r="D96" s="45">
        <v>1</v>
      </c>
      <c r="E96" s="45">
        <v>1041</v>
      </c>
      <c r="F96" s="45">
        <v>35</v>
      </c>
      <c r="G96" s="45">
        <v>0.86</v>
      </c>
      <c r="H96" s="45">
        <v>0.14199999999999999</v>
      </c>
    </row>
    <row r="97" spans="1:8" x14ac:dyDescent="0.35">
      <c r="A97" s="45">
        <v>656</v>
      </c>
      <c r="B97" s="45">
        <v>6</v>
      </c>
      <c r="C97" s="45" t="s">
        <v>14</v>
      </c>
      <c r="D97" s="45">
        <v>1.2</v>
      </c>
      <c r="E97" s="45">
        <v>1039</v>
      </c>
      <c r="F97" s="45">
        <v>35</v>
      </c>
      <c r="G97" s="45">
        <v>1.05</v>
      </c>
      <c r="H97" s="45">
        <v>0.14099999999999999</v>
      </c>
    </row>
    <row r="98" spans="1:8" x14ac:dyDescent="0.35">
      <c r="A98" s="45">
        <v>655</v>
      </c>
      <c r="B98" s="45">
        <v>11</v>
      </c>
      <c r="C98" s="45" t="s">
        <v>23</v>
      </c>
      <c r="D98" s="45">
        <v>20.3</v>
      </c>
      <c r="E98" s="45">
        <v>1039</v>
      </c>
      <c r="F98" s="45">
        <v>35</v>
      </c>
      <c r="G98" s="45">
        <v>1.05</v>
      </c>
      <c r="H98" s="45">
        <v>0.14099999999999999</v>
      </c>
    </row>
    <row r="99" spans="1:8" x14ac:dyDescent="0.35">
      <c r="A99" s="45">
        <v>654</v>
      </c>
      <c r="B99" s="45">
        <v>4</v>
      </c>
      <c r="C99" s="45" t="s">
        <v>28</v>
      </c>
      <c r="D99" s="45">
        <v>2.2000000000000002</v>
      </c>
      <c r="E99" s="45">
        <v>1038</v>
      </c>
      <c r="F99" s="45">
        <v>35</v>
      </c>
      <c r="G99" s="45">
        <v>1.1399999999999999</v>
      </c>
      <c r="H99" s="45">
        <v>0.14099999999999999</v>
      </c>
    </row>
    <row r="100" spans="1:8" x14ac:dyDescent="0.35">
      <c r="A100" s="45">
        <v>653</v>
      </c>
      <c r="B100" s="45">
        <v>2</v>
      </c>
      <c r="C100" s="45" t="s">
        <v>74</v>
      </c>
      <c r="D100" s="45">
        <v>1.2</v>
      </c>
      <c r="E100" s="45">
        <v>1039</v>
      </c>
      <c r="F100" s="45">
        <v>35</v>
      </c>
      <c r="G100" s="45">
        <v>1.05</v>
      </c>
      <c r="H100" s="45">
        <v>0.14099999999999999</v>
      </c>
    </row>
    <row r="101" spans="1:8" x14ac:dyDescent="0.35">
      <c r="A101" s="45">
        <v>652</v>
      </c>
      <c r="B101" s="45">
        <v>6</v>
      </c>
      <c r="C101" s="45" t="s">
        <v>14</v>
      </c>
      <c r="D101" s="45">
        <v>1</v>
      </c>
      <c r="E101" s="45">
        <v>1041</v>
      </c>
      <c r="F101" s="45">
        <v>35</v>
      </c>
      <c r="G101" s="45">
        <v>0.86</v>
      </c>
      <c r="H101" s="45">
        <v>0.14199999999999999</v>
      </c>
    </row>
    <row r="102" spans="1:8" x14ac:dyDescent="0.35">
      <c r="A102" s="45">
        <v>651</v>
      </c>
      <c r="B102" s="45">
        <v>1</v>
      </c>
      <c r="C102" s="45" t="s">
        <v>41</v>
      </c>
      <c r="D102" s="45">
        <v>2.9</v>
      </c>
      <c r="E102" s="45">
        <v>1041</v>
      </c>
      <c r="F102" s="45">
        <v>35</v>
      </c>
      <c r="G102" s="45">
        <v>0.86</v>
      </c>
      <c r="H102" s="45">
        <v>0.14199999999999999</v>
      </c>
    </row>
    <row r="103" spans="1:8" x14ac:dyDescent="0.35">
      <c r="A103" s="44" t="s">
        <v>1626</v>
      </c>
      <c r="B103" s="44" t="s">
        <v>1627</v>
      </c>
      <c r="C103" s="44" t="s">
        <v>4</v>
      </c>
      <c r="D103" s="44" t="s">
        <v>5</v>
      </c>
      <c r="E103" s="44" t="s">
        <v>6</v>
      </c>
      <c r="F103" s="44" t="s">
        <v>1629</v>
      </c>
      <c r="G103" s="44" t="s">
        <v>1628</v>
      </c>
      <c r="H103" s="44" t="s">
        <v>10</v>
      </c>
    </row>
    <row r="104" spans="1:8" x14ac:dyDescent="0.35">
      <c r="A104" s="45">
        <v>650</v>
      </c>
      <c r="B104" s="45">
        <v>8</v>
      </c>
      <c r="C104" s="45" t="s">
        <v>38</v>
      </c>
      <c r="D104" s="45">
        <v>2.2999999999999998</v>
      </c>
      <c r="E104" s="45">
        <v>888</v>
      </c>
      <c r="F104" s="45">
        <v>30</v>
      </c>
      <c r="G104" s="45">
        <v>1.33</v>
      </c>
      <c r="H104" s="45">
        <v>0.121</v>
      </c>
    </row>
    <row r="105" spans="1:8" x14ac:dyDescent="0.35">
      <c r="A105" s="45">
        <v>649</v>
      </c>
      <c r="B105" s="45">
        <v>2</v>
      </c>
      <c r="C105" s="45" t="s">
        <v>74</v>
      </c>
      <c r="D105" s="45">
        <v>1.2</v>
      </c>
      <c r="E105" s="45">
        <v>886</v>
      </c>
      <c r="F105" s="45">
        <v>30</v>
      </c>
      <c r="G105" s="45">
        <v>1.56</v>
      </c>
      <c r="H105" s="45">
        <v>0.12</v>
      </c>
    </row>
    <row r="106" spans="1:8" x14ac:dyDescent="0.35">
      <c r="A106" s="45">
        <v>648</v>
      </c>
      <c r="B106" s="45">
        <v>6</v>
      </c>
      <c r="C106" s="45" t="s">
        <v>14</v>
      </c>
      <c r="D106" s="45">
        <v>1.2</v>
      </c>
      <c r="E106" s="45">
        <v>889</v>
      </c>
      <c r="F106" s="45">
        <v>30</v>
      </c>
      <c r="G106" s="45">
        <v>1.22</v>
      </c>
      <c r="H106" s="45">
        <v>0.121</v>
      </c>
    </row>
    <row r="107" spans="1:8" x14ac:dyDescent="0.35">
      <c r="A107" s="45">
        <v>647</v>
      </c>
      <c r="B107" s="45">
        <v>8</v>
      </c>
      <c r="C107" s="45" t="s">
        <v>38</v>
      </c>
      <c r="D107" s="45">
        <v>2.4</v>
      </c>
      <c r="E107" s="45">
        <v>889</v>
      </c>
      <c r="F107" s="45">
        <v>30</v>
      </c>
      <c r="G107" s="45">
        <v>1.22</v>
      </c>
      <c r="H107" s="45">
        <v>0.121</v>
      </c>
    </row>
    <row r="108" spans="1:8" x14ac:dyDescent="0.35">
      <c r="A108" s="45">
        <v>646</v>
      </c>
      <c r="B108" s="45">
        <v>11</v>
      </c>
      <c r="C108" s="45" t="s">
        <v>23</v>
      </c>
      <c r="D108" s="45">
        <v>17</v>
      </c>
      <c r="E108" s="45">
        <v>887</v>
      </c>
      <c r="F108" s="45">
        <v>30</v>
      </c>
      <c r="G108" s="45">
        <v>1.44</v>
      </c>
      <c r="H108" s="45">
        <v>0.121</v>
      </c>
    </row>
    <row r="109" spans="1:8" x14ac:dyDescent="0.35">
      <c r="A109" s="45">
        <v>645</v>
      </c>
      <c r="B109" s="45">
        <v>3</v>
      </c>
      <c r="C109" s="45" t="s">
        <v>20</v>
      </c>
      <c r="D109" s="45">
        <v>3.3</v>
      </c>
      <c r="E109" s="45">
        <v>889</v>
      </c>
      <c r="F109" s="45">
        <v>30</v>
      </c>
      <c r="G109" s="45">
        <v>1.22</v>
      </c>
      <c r="H109" s="45">
        <v>0.121</v>
      </c>
    </row>
    <row r="110" spans="1:8" x14ac:dyDescent="0.35">
      <c r="A110" s="45">
        <v>644</v>
      </c>
      <c r="B110" s="45">
        <v>3</v>
      </c>
      <c r="C110" s="45" t="s">
        <v>20</v>
      </c>
      <c r="D110" s="45">
        <v>1.2</v>
      </c>
      <c r="E110" s="45">
        <v>886</v>
      </c>
      <c r="F110" s="45">
        <v>30</v>
      </c>
      <c r="G110" s="45">
        <v>1.56</v>
      </c>
      <c r="H110" s="45">
        <v>0.12</v>
      </c>
    </row>
    <row r="111" spans="1:8" x14ac:dyDescent="0.35">
      <c r="A111" s="45">
        <v>643</v>
      </c>
      <c r="B111" s="45">
        <v>9</v>
      </c>
      <c r="C111" s="45" t="s">
        <v>44</v>
      </c>
      <c r="D111" s="45">
        <v>1.4</v>
      </c>
      <c r="E111" s="45">
        <v>886</v>
      </c>
      <c r="F111" s="45">
        <v>30</v>
      </c>
      <c r="G111" s="45">
        <v>1.56</v>
      </c>
      <c r="H111" s="45">
        <v>0.12</v>
      </c>
    </row>
    <row r="112" spans="1:8" x14ac:dyDescent="0.35">
      <c r="A112" s="45">
        <v>642</v>
      </c>
      <c r="B112" s="45">
        <v>7</v>
      </c>
      <c r="C112" s="45" t="s">
        <v>17</v>
      </c>
      <c r="D112" s="45">
        <v>2.8</v>
      </c>
      <c r="E112" s="45">
        <v>890</v>
      </c>
      <c r="F112" s="45">
        <v>30</v>
      </c>
      <c r="G112" s="45">
        <v>1.1100000000000001</v>
      </c>
      <c r="H112" s="45">
        <v>0.121</v>
      </c>
    </row>
    <row r="113" spans="1:8" x14ac:dyDescent="0.35">
      <c r="A113" s="45">
        <v>641</v>
      </c>
      <c r="B113" s="45">
        <v>3</v>
      </c>
      <c r="C113" s="45" t="s">
        <v>20</v>
      </c>
      <c r="D113" s="45">
        <v>1.2</v>
      </c>
      <c r="E113" s="45">
        <v>886</v>
      </c>
      <c r="F113" s="45">
        <v>30</v>
      </c>
      <c r="G113" s="45">
        <v>1.56</v>
      </c>
      <c r="H113" s="45">
        <v>0.121</v>
      </c>
    </row>
    <row r="114" spans="1:8" x14ac:dyDescent="0.35">
      <c r="A114" s="45">
        <v>640</v>
      </c>
      <c r="B114" s="45">
        <v>9</v>
      </c>
      <c r="C114" s="45" t="s">
        <v>44</v>
      </c>
      <c r="D114" s="45">
        <v>1.2</v>
      </c>
      <c r="E114" s="45">
        <v>888</v>
      </c>
      <c r="F114" s="45">
        <v>30</v>
      </c>
      <c r="G114" s="45">
        <v>1.33</v>
      </c>
      <c r="H114" s="45">
        <v>0.121</v>
      </c>
    </row>
    <row r="115" spans="1:8" x14ac:dyDescent="0.35">
      <c r="A115" s="45">
        <v>639</v>
      </c>
      <c r="B115" s="45">
        <v>11</v>
      </c>
      <c r="C115" s="45" t="s">
        <v>23</v>
      </c>
      <c r="D115" s="45">
        <v>18.899999999999999</v>
      </c>
      <c r="E115" s="45">
        <v>888</v>
      </c>
      <c r="F115" s="45">
        <v>30</v>
      </c>
      <c r="G115" s="45">
        <v>1.33</v>
      </c>
      <c r="H115" s="45">
        <v>0.121</v>
      </c>
    </row>
    <row r="116" spans="1:8" x14ac:dyDescent="0.35">
      <c r="A116" s="45">
        <v>638</v>
      </c>
      <c r="B116" s="45">
        <v>11</v>
      </c>
      <c r="C116" s="45" t="s">
        <v>23</v>
      </c>
      <c r="D116" s="45">
        <v>14.6</v>
      </c>
      <c r="E116" s="45">
        <v>886</v>
      </c>
      <c r="F116" s="45">
        <v>30</v>
      </c>
      <c r="G116" s="45">
        <v>1.56</v>
      </c>
      <c r="H116" s="45">
        <v>0.12</v>
      </c>
    </row>
    <row r="117" spans="1:8" x14ac:dyDescent="0.35">
      <c r="A117" s="45">
        <v>637</v>
      </c>
      <c r="B117" s="45">
        <v>9</v>
      </c>
      <c r="C117" s="45" t="s">
        <v>44</v>
      </c>
      <c r="D117" s="45">
        <v>1.1000000000000001</v>
      </c>
      <c r="E117" s="45">
        <v>888</v>
      </c>
      <c r="F117" s="45">
        <v>30</v>
      </c>
      <c r="G117" s="45">
        <v>1.33</v>
      </c>
      <c r="H117" s="45">
        <v>0.121</v>
      </c>
    </row>
    <row r="118" spans="1:8" x14ac:dyDescent="0.35">
      <c r="A118" s="45">
        <v>636</v>
      </c>
      <c r="B118" s="45">
        <v>5</v>
      </c>
      <c r="C118" s="45" t="s">
        <v>35</v>
      </c>
      <c r="D118" s="45">
        <v>1.1000000000000001</v>
      </c>
      <c r="E118" s="45">
        <v>891</v>
      </c>
      <c r="F118" s="45">
        <v>30</v>
      </c>
      <c r="G118" s="45">
        <v>1</v>
      </c>
      <c r="H118" s="45">
        <v>0.121</v>
      </c>
    </row>
    <row r="119" spans="1:8" x14ac:dyDescent="0.35">
      <c r="A119" s="45">
        <v>635</v>
      </c>
      <c r="B119" s="45">
        <v>11</v>
      </c>
      <c r="C119" s="45" t="s">
        <v>23</v>
      </c>
      <c r="D119" s="45">
        <v>43.4</v>
      </c>
      <c r="E119" s="45">
        <v>888</v>
      </c>
      <c r="F119" s="45">
        <v>30</v>
      </c>
      <c r="G119" s="45">
        <v>1.33</v>
      </c>
      <c r="H119" s="45">
        <v>0.121</v>
      </c>
    </row>
    <row r="120" spans="1:8" x14ac:dyDescent="0.35">
      <c r="A120" s="45">
        <v>634</v>
      </c>
      <c r="B120" s="45">
        <v>1</v>
      </c>
      <c r="C120" s="45" t="s">
        <v>41</v>
      </c>
      <c r="D120" s="45">
        <v>2.8</v>
      </c>
      <c r="E120" s="45">
        <v>888</v>
      </c>
      <c r="F120" s="45">
        <v>30</v>
      </c>
      <c r="G120" s="45">
        <v>1.33</v>
      </c>
      <c r="H120" s="45">
        <v>0.121</v>
      </c>
    </row>
    <row r="121" spans="1:8" x14ac:dyDescent="0.35">
      <c r="A121" s="45">
        <v>633</v>
      </c>
      <c r="B121" s="45">
        <v>4</v>
      </c>
      <c r="C121" s="45" t="s">
        <v>28</v>
      </c>
      <c r="D121" s="45">
        <v>2.2999999999999998</v>
      </c>
      <c r="E121" s="45">
        <v>889</v>
      </c>
      <c r="F121" s="45">
        <v>30</v>
      </c>
      <c r="G121" s="45">
        <v>1.22</v>
      </c>
      <c r="H121" s="45">
        <v>0.121</v>
      </c>
    </row>
    <row r="122" spans="1:8" x14ac:dyDescent="0.35">
      <c r="A122" s="45">
        <v>632</v>
      </c>
      <c r="B122" s="45">
        <v>11</v>
      </c>
      <c r="C122" s="45" t="s">
        <v>23</v>
      </c>
      <c r="D122" s="45">
        <v>39.700000000000003</v>
      </c>
      <c r="E122" s="45">
        <v>888</v>
      </c>
      <c r="F122" s="45">
        <v>30</v>
      </c>
      <c r="G122" s="45">
        <v>1.33</v>
      </c>
      <c r="H122" s="45">
        <v>0.121</v>
      </c>
    </row>
    <row r="123" spans="1:8" x14ac:dyDescent="0.35">
      <c r="A123" s="45">
        <v>631</v>
      </c>
      <c r="B123" s="45">
        <v>11</v>
      </c>
      <c r="C123" s="45" t="s">
        <v>23</v>
      </c>
      <c r="D123" s="45">
        <v>15.2</v>
      </c>
      <c r="E123" s="45">
        <v>889</v>
      </c>
      <c r="F123" s="45">
        <v>30</v>
      </c>
      <c r="G123" s="45">
        <v>1.22</v>
      </c>
      <c r="H123" s="45">
        <v>0.121</v>
      </c>
    </row>
    <row r="124" spans="1:8" x14ac:dyDescent="0.35">
      <c r="A124" s="45">
        <v>630</v>
      </c>
      <c r="B124" s="45">
        <v>5</v>
      </c>
      <c r="C124" s="45" t="s">
        <v>35</v>
      </c>
      <c r="D124" s="45">
        <v>1</v>
      </c>
      <c r="E124" s="45">
        <v>889</v>
      </c>
      <c r="F124" s="45">
        <v>30</v>
      </c>
      <c r="G124" s="45">
        <v>1.22</v>
      </c>
      <c r="H124" s="45">
        <v>0.121</v>
      </c>
    </row>
    <row r="125" spans="1:8" x14ac:dyDescent="0.35">
      <c r="A125" s="45">
        <v>629</v>
      </c>
      <c r="B125" s="45">
        <v>11</v>
      </c>
      <c r="C125" s="45" t="s">
        <v>23</v>
      </c>
      <c r="D125" s="45">
        <v>21</v>
      </c>
      <c r="E125" s="45">
        <v>889</v>
      </c>
      <c r="F125" s="45">
        <v>30</v>
      </c>
      <c r="G125" s="45">
        <v>1.22</v>
      </c>
      <c r="H125" s="45">
        <v>0.121</v>
      </c>
    </row>
    <row r="126" spans="1:8" x14ac:dyDescent="0.35">
      <c r="A126" s="45">
        <v>628</v>
      </c>
      <c r="B126" s="45">
        <v>4</v>
      </c>
      <c r="C126" s="45" t="s">
        <v>28</v>
      </c>
      <c r="D126" s="45">
        <v>2.2999999999999998</v>
      </c>
      <c r="E126" s="45">
        <v>888</v>
      </c>
      <c r="F126" s="45">
        <v>30</v>
      </c>
      <c r="G126" s="45">
        <v>1.33</v>
      </c>
      <c r="H126" s="45">
        <v>0.121</v>
      </c>
    </row>
    <row r="127" spans="1:8" x14ac:dyDescent="0.35">
      <c r="A127" s="45">
        <v>627</v>
      </c>
      <c r="B127" s="45">
        <v>9</v>
      </c>
      <c r="C127" s="45" t="s">
        <v>44</v>
      </c>
      <c r="D127" s="45">
        <v>1.2</v>
      </c>
      <c r="E127" s="45">
        <v>888</v>
      </c>
      <c r="F127" s="45">
        <v>30</v>
      </c>
      <c r="G127" s="45">
        <v>1.33</v>
      </c>
      <c r="H127" s="45">
        <v>0.121</v>
      </c>
    </row>
    <row r="128" spans="1:8" x14ac:dyDescent="0.35">
      <c r="A128" s="45">
        <v>626</v>
      </c>
      <c r="B128" s="45">
        <v>3</v>
      </c>
      <c r="C128" s="45" t="s">
        <v>20</v>
      </c>
      <c r="D128" s="45">
        <v>1.2</v>
      </c>
      <c r="E128" s="45">
        <v>889</v>
      </c>
      <c r="F128" s="45">
        <v>30</v>
      </c>
      <c r="G128" s="45">
        <v>1.22</v>
      </c>
      <c r="H128" s="45">
        <v>0.121</v>
      </c>
    </row>
    <row r="129" spans="1:8" x14ac:dyDescent="0.35">
      <c r="A129" s="45">
        <v>625</v>
      </c>
      <c r="B129" s="45">
        <v>8</v>
      </c>
      <c r="C129" s="45" t="s">
        <v>38</v>
      </c>
      <c r="D129" s="45">
        <v>2.4</v>
      </c>
      <c r="E129" s="45">
        <v>888</v>
      </c>
      <c r="F129" s="45">
        <v>30</v>
      </c>
      <c r="G129" s="45">
        <v>1.33</v>
      </c>
      <c r="H129" s="45">
        <v>0.121</v>
      </c>
    </row>
    <row r="130" spans="1:8" x14ac:dyDescent="0.35">
      <c r="A130" s="45">
        <v>624</v>
      </c>
      <c r="B130" s="45">
        <v>9</v>
      </c>
      <c r="C130" s="45" t="s">
        <v>44</v>
      </c>
      <c r="D130" s="45">
        <v>1.2</v>
      </c>
      <c r="E130" s="45">
        <v>888</v>
      </c>
      <c r="F130" s="45">
        <v>30</v>
      </c>
      <c r="G130" s="45">
        <v>1.33</v>
      </c>
      <c r="H130" s="45">
        <v>0.121</v>
      </c>
    </row>
    <row r="131" spans="1:8" x14ac:dyDescent="0.35">
      <c r="A131" s="45">
        <v>623</v>
      </c>
      <c r="B131" s="45">
        <v>11</v>
      </c>
      <c r="C131" s="45" t="s">
        <v>23</v>
      </c>
      <c r="D131" s="45">
        <v>17.7</v>
      </c>
      <c r="E131" s="45">
        <v>888</v>
      </c>
      <c r="F131" s="45">
        <v>30</v>
      </c>
      <c r="G131" s="45">
        <v>1.33</v>
      </c>
      <c r="H131" s="45">
        <v>0.121</v>
      </c>
    </row>
    <row r="132" spans="1:8" x14ac:dyDescent="0.35">
      <c r="A132" s="45">
        <v>622</v>
      </c>
      <c r="B132" s="45">
        <v>6</v>
      </c>
      <c r="C132" s="45" t="s">
        <v>14</v>
      </c>
      <c r="D132" s="45">
        <v>1.2</v>
      </c>
      <c r="E132" s="45">
        <v>885</v>
      </c>
      <c r="F132" s="45">
        <v>30</v>
      </c>
      <c r="G132" s="45">
        <v>1.67</v>
      </c>
      <c r="H132" s="45">
        <v>0.12</v>
      </c>
    </row>
    <row r="133" spans="1:8" x14ac:dyDescent="0.35">
      <c r="A133" s="45">
        <v>621</v>
      </c>
      <c r="B133" s="45">
        <v>9</v>
      </c>
      <c r="C133" s="45" t="s">
        <v>44</v>
      </c>
      <c r="D133" s="45">
        <v>1.4</v>
      </c>
      <c r="E133" s="45">
        <v>888</v>
      </c>
      <c r="F133" s="45">
        <v>30</v>
      </c>
      <c r="G133" s="45">
        <v>1.33</v>
      </c>
      <c r="H133" s="45">
        <v>0.121</v>
      </c>
    </row>
    <row r="134" spans="1:8" x14ac:dyDescent="0.35">
      <c r="A134" s="45">
        <v>620</v>
      </c>
      <c r="B134" s="45">
        <v>11</v>
      </c>
      <c r="C134" s="45" t="s">
        <v>23</v>
      </c>
      <c r="D134" s="45">
        <v>21</v>
      </c>
      <c r="E134" s="45">
        <v>891</v>
      </c>
      <c r="F134" s="45">
        <v>30</v>
      </c>
      <c r="G134" s="45">
        <v>1</v>
      </c>
      <c r="H134" s="45">
        <v>0.121</v>
      </c>
    </row>
    <row r="135" spans="1:8" x14ac:dyDescent="0.35">
      <c r="A135" s="45">
        <v>619</v>
      </c>
      <c r="B135" s="45">
        <v>6</v>
      </c>
      <c r="C135" s="45" t="s">
        <v>14</v>
      </c>
      <c r="D135" s="45">
        <v>1.2</v>
      </c>
      <c r="E135" s="45">
        <v>889</v>
      </c>
      <c r="F135" s="45">
        <v>30</v>
      </c>
      <c r="G135" s="45">
        <v>1.22</v>
      </c>
      <c r="H135" s="45">
        <v>0.121</v>
      </c>
    </row>
    <row r="136" spans="1:8" x14ac:dyDescent="0.35">
      <c r="A136" s="45">
        <v>618</v>
      </c>
      <c r="B136" s="45">
        <v>1</v>
      </c>
      <c r="C136" s="45" t="s">
        <v>41</v>
      </c>
      <c r="D136" s="45">
        <v>2.8</v>
      </c>
      <c r="E136" s="45">
        <v>889</v>
      </c>
      <c r="F136" s="45">
        <v>30</v>
      </c>
      <c r="G136" s="45">
        <v>1.22</v>
      </c>
      <c r="H136" s="45">
        <v>0.121</v>
      </c>
    </row>
    <row r="137" spans="1:8" x14ac:dyDescent="0.35">
      <c r="A137" s="45">
        <v>617</v>
      </c>
      <c r="B137" s="45">
        <v>11</v>
      </c>
      <c r="C137" s="45" t="s">
        <v>23</v>
      </c>
      <c r="D137" s="45">
        <v>14.5</v>
      </c>
      <c r="E137" s="45">
        <v>888</v>
      </c>
      <c r="F137" s="45">
        <v>30</v>
      </c>
      <c r="G137" s="45">
        <v>1.33</v>
      </c>
      <c r="H137" s="45">
        <v>0.121</v>
      </c>
    </row>
    <row r="138" spans="1:8" x14ac:dyDescent="0.35">
      <c r="A138" s="45">
        <v>616</v>
      </c>
      <c r="B138" s="45">
        <v>6</v>
      </c>
      <c r="C138" s="45" t="s">
        <v>14</v>
      </c>
      <c r="D138" s="45">
        <v>1.3</v>
      </c>
      <c r="E138" s="45">
        <v>888</v>
      </c>
      <c r="F138" s="45">
        <v>30</v>
      </c>
      <c r="G138" s="45">
        <v>1.33</v>
      </c>
      <c r="H138" s="45">
        <v>0.121</v>
      </c>
    </row>
    <row r="139" spans="1:8" x14ac:dyDescent="0.35">
      <c r="A139" s="45">
        <v>615</v>
      </c>
      <c r="B139" s="45">
        <v>11</v>
      </c>
      <c r="C139" s="45" t="s">
        <v>23</v>
      </c>
      <c r="D139" s="45">
        <v>21</v>
      </c>
      <c r="E139" s="45">
        <v>886</v>
      </c>
      <c r="F139" s="45">
        <v>30</v>
      </c>
      <c r="G139" s="45">
        <v>1.56</v>
      </c>
      <c r="H139" s="45">
        <v>0.12</v>
      </c>
    </row>
    <row r="140" spans="1:8" x14ac:dyDescent="0.35">
      <c r="A140" s="45">
        <v>614</v>
      </c>
      <c r="B140" s="45">
        <v>11</v>
      </c>
      <c r="C140" s="45" t="s">
        <v>23</v>
      </c>
      <c r="D140" s="45">
        <v>19.399999999999999</v>
      </c>
      <c r="E140" s="45">
        <v>887</v>
      </c>
      <c r="F140" s="45">
        <v>30</v>
      </c>
      <c r="G140" s="45">
        <v>1.44</v>
      </c>
      <c r="H140" s="45">
        <v>0.121</v>
      </c>
    </row>
    <row r="141" spans="1:8" x14ac:dyDescent="0.35">
      <c r="A141" s="45">
        <v>613</v>
      </c>
      <c r="B141" s="45">
        <v>9</v>
      </c>
      <c r="C141" s="45" t="s">
        <v>44</v>
      </c>
      <c r="D141" s="45">
        <v>1.2</v>
      </c>
      <c r="E141" s="45">
        <v>886</v>
      </c>
      <c r="F141" s="45">
        <v>30</v>
      </c>
      <c r="G141" s="45">
        <v>1.56</v>
      </c>
      <c r="H141" s="45">
        <v>0.12</v>
      </c>
    </row>
    <row r="142" spans="1:8" x14ac:dyDescent="0.35">
      <c r="A142" s="45">
        <v>612</v>
      </c>
      <c r="B142" s="45">
        <v>11</v>
      </c>
      <c r="C142" s="45" t="s">
        <v>23</v>
      </c>
      <c r="D142" s="45">
        <v>20.9</v>
      </c>
      <c r="E142" s="45">
        <v>888</v>
      </c>
      <c r="F142" s="45">
        <v>30</v>
      </c>
      <c r="G142" s="45">
        <v>1.33</v>
      </c>
      <c r="H142" s="45">
        <v>0.121</v>
      </c>
    </row>
    <row r="143" spans="1:8" x14ac:dyDescent="0.35">
      <c r="A143" s="45">
        <v>611</v>
      </c>
      <c r="B143" s="45">
        <v>11</v>
      </c>
      <c r="C143" s="45" t="s">
        <v>23</v>
      </c>
      <c r="D143" s="45">
        <v>15.1</v>
      </c>
      <c r="E143" s="45">
        <v>889</v>
      </c>
      <c r="F143" s="45">
        <v>30</v>
      </c>
      <c r="G143" s="45">
        <v>1.22</v>
      </c>
      <c r="H143" s="45">
        <v>0.121</v>
      </c>
    </row>
    <row r="144" spans="1:8" x14ac:dyDescent="0.35">
      <c r="A144" s="45">
        <v>610</v>
      </c>
      <c r="B144" s="45">
        <v>9</v>
      </c>
      <c r="C144" s="45" t="s">
        <v>44</v>
      </c>
      <c r="D144" s="45">
        <v>1.3</v>
      </c>
      <c r="E144" s="45">
        <v>889</v>
      </c>
      <c r="F144" s="45">
        <v>30</v>
      </c>
      <c r="G144" s="45">
        <v>1.22</v>
      </c>
      <c r="H144" s="45">
        <v>0.121</v>
      </c>
    </row>
    <row r="145" spans="1:8" x14ac:dyDescent="0.35">
      <c r="A145" s="45">
        <v>609</v>
      </c>
      <c r="B145" s="45">
        <v>11</v>
      </c>
      <c r="C145" s="45" t="s">
        <v>23</v>
      </c>
      <c r="D145" s="45">
        <v>17.5</v>
      </c>
      <c r="E145" s="45">
        <v>887</v>
      </c>
      <c r="F145" s="45">
        <v>30</v>
      </c>
      <c r="G145" s="45">
        <v>1.44</v>
      </c>
      <c r="H145" s="45">
        <v>0.121</v>
      </c>
    </row>
    <row r="146" spans="1:8" x14ac:dyDescent="0.35">
      <c r="A146" s="45">
        <v>608</v>
      </c>
      <c r="B146" s="45">
        <v>7</v>
      </c>
      <c r="C146" s="45" t="s">
        <v>17</v>
      </c>
      <c r="D146" s="45">
        <v>2.9</v>
      </c>
      <c r="E146" s="45">
        <v>887</v>
      </c>
      <c r="F146" s="45">
        <v>30</v>
      </c>
      <c r="G146" s="45">
        <v>1.44</v>
      </c>
      <c r="H146" s="45">
        <v>0.121</v>
      </c>
    </row>
    <row r="147" spans="1:8" x14ac:dyDescent="0.35">
      <c r="A147" s="45">
        <v>607</v>
      </c>
      <c r="B147" s="45">
        <v>9</v>
      </c>
      <c r="C147" s="45" t="s">
        <v>44</v>
      </c>
      <c r="D147" s="45">
        <v>1.3</v>
      </c>
      <c r="E147" s="45">
        <v>888</v>
      </c>
      <c r="F147" s="45">
        <v>30</v>
      </c>
      <c r="G147" s="45">
        <v>1.33</v>
      </c>
      <c r="H147" s="45">
        <v>0.121</v>
      </c>
    </row>
    <row r="148" spans="1:8" x14ac:dyDescent="0.35">
      <c r="A148" s="45">
        <v>606</v>
      </c>
      <c r="B148" s="45">
        <v>4</v>
      </c>
      <c r="C148" s="45" t="s">
        <v>28</v>
      </c>
      <c r="D148" s="45">
        <v>2.2999999999999998</v>
      </c>
      <c r="E148" s="45">
        <v>889</v>
      </c>
      <c r="F148" s="45">
        <v>30</v>
      </c>
      <c r="G148" s="45">
        <v>1.22</v>
      </c>
      <c r="H148" s="45">
        <v>0.121</v>
      </c>
    </row>
    <row r="149" spans="1:8" x14ac:dyDescent="0.35">
      <c r="A149" s="45">
        <v>605</v>
      </c>
      <c r="B149" s="45">
        <v>7</v>
      </c>
      <c r="C149" s="45" t="s">
        <v>17</v>
      </c>
      <c r="D149" s="45">
        <v>2.8</v>
      </c>
      <c r="E149" s="45">
        <v>886</v>
      </c>
      <c r="F149" s="45">
        <v>30</v>
      </c>
      <c r="G149" s="45">
        <v>1.56</v>
      </c>
      <c r="H149" s="45">
        <v>0.12</v>
      </c>
    </row>
    <row r="150" spans="1:8" x14ac:dyDescent="0.35">
      <c r="A150" s="45">
        <v>604</v>
      </c>
      <c r="B150" s="45">
        <v>5</v>
      </c>
      <c r="C150" s="45" t="s">
        <v>35</v>
      </c>
      <c r="D150" s="45">
        <v>1.1000000000000001</v>
      </c>
      <c r="E150" s="45">
        <v>889</v>
      </c>
      <c r="F150" s="45">
        <v>30</v>
      </c>
      <c r="G150" s="45">
        <v>1.22</v>
      </c>
      <c r="H150" s="45">
        <v>0.121</v>
      </c>
    </row>
    <row r="151" spans="1:8" x14ac:dyDescent="0.35">
      <c r="A151" s="45">
        <v>603</v>
      </c>
      <c r="B151" s="45">
        <v>11</v>
      </c>
      <c r="C151" s="45" t="s">
        <v>23</v>
      </c>
      <c r="D151" s="45">
        <v>21.7</v>
      </c>
      <c r="E151" s="45">
        <v>889</v>
      </c>
      <c r="F151" s="45">
        <v>30</v>
      </c>
      <c r="G151" s="45">
        <v>1.22</v>
      </c>
      <c r="H151" s="45">
        <v>0.121</v>
      </c>
    </row>
    <row r="152" spans="1:8" x14ac:dyDescent="0.35">
      <c r="A152" s="45">
        <v>602</v>
      </c>
      <c r="B152" s="45">
        <v>9</v>
      </c>
      <c r="C152" s="45" t="s">
        <v>44</v>
      </c>
      <c r="D152" s="45">
        <v>1.2</v>
      </c>
      <c r="E152" s="45">
        <v>888</v>
      </c>
      <c r="F152" s="45">
        <v>30</v>
      </c>
      <c r="G152" s="45">
        <v>1.33</v>
      </c>
      <c r="H152" s="45">
        <v>0.121</v>
      </c>
    </row>
    <row r="153" spans="1:8" x14ac:dyDescent="0.35">
      <c r="A153" s="45">
        <v>601</v>
      </c>
      <c r="B153" s="45">
        <v>3</v>
      </c>
      <c r="C153" s="45" t="s">
        <v>20</v>
      </c>
      <c r="D153" s="45">
        <v>1.4</v>
      </c>
      <c r="E153" s="45">
        <v>885</v>
      </c>
      <c r="F153" s="45">
        <v>30</v>
      </c>
      <c r="G153" s="45">
        <v>1.67</v>
      </c>
      <c r="H153" s="45">
        <v>0.12</v>
      </c>
    </row>
    <row r="154" spans="1:8" x14ac:dyDescent="0.35">
      <c r="A154" s="44" t="s">
        <v>1626</v>
      </c>
      <c r="B154" s="44" t="s">
        <v>1627</v>
      </c>
      <c r="C154" s="44" t="s">
        <v>4</v>
      </c>
      <c r="D154" s="44" t="s">
        <v>5</v>
      </c>
      <c r="E154" s="44" t="s">
        <v>6</v>
      </c>
      <c r="F154" s="44" t="s">
        <v>1629</v>
      </c>
      <c r="G154" s="44" t="s">
        <v>1628</v>
      </c>
      <c r="H154" s="44" t="s">
        <v>10</v>
      </c>
    </row>
    <row r="155" spans="1:8" x14ac:dyDescent="0.35">
      <c r="A155" s="45">
        <v>600</v>
      </c>
      <c r="B155" s="45">
        <v>3</v>
      </c>
      <c r="C155" s="45" t="s">
        <v>20</v>
      </c>
      <c r="D155" s="45">
        <v>1.2</v>
      </c>
      <c r="E155" s="45">
        <v>736</v>
      </c>
      <c r="F155" s="45">
        <v>25</v>
      </c>
      <c r="G155" s="45">
        <v>1.87</v>
      </c>
      <c r="H155" s="45">
        <v>0.1</v>
      </c>
    </row>
    <row r="156" spans="1:8" x14ac:dyDescent="0.35">
      <c r="A156" s="45">
        <v>599</v>
      </c>
      <c r="B156" s="45">
        <v>8</v>
      </c>
      <c r="C156" s="45" t="s">
        <v>38</v>
      </c>
      <c r="D156" s="45">
        <v>2.2999999999999998</v>
      </c>
      <c r="E156" s="45">
        <v>738</v>
      </c>
      <c r="F156" s="45">
        <v>25</v>
      </c>
      <c r="G156" s="45">
        <v>1.6</v>
      </c>
      <c r="H156" s="45">
        <v>0.1</v>
      </c>
    </row>
    <row r="157" spans="1:8" x14ac:dyDescent="0.35">
      <c r="A157" s="45">
        <v>598</v>
      </c>
      <c r="B157" s="45">
        <v>3</v>
      </c>
      <c r="C157" s="45" t="s">
        <v>20</v>
      </c>
      <c r="D157" s="45">
        <v>4.9000000000000004</v>
      </c>
      <c r="E157" s="45">
        <v>737</v>
      </c>
      <c r="F157" s="45">
        <v>25</v>
      </c>
      <c r="G157" s="45">
        <v>1.73</v>
      </c>
      <c r="H157" s="45">
        <v>0.1</v>
      </c>
    </row>
    <row r="158" spans="1:8" x14ac:dyDescent="0.35">
      <c r="A158" s="45">
        <v>597</v>
      </c>
      <c r="B158" s="45">
        <v>7</v>
      </c>
      <c r="C158" s="45" t="s">
        <v>17</v>
      </c>
      <c r="D158" s="45">
        <v>2.9</v>
      </c>
      <c r="E158" s="45">
        <v>736</v>
      </c>
      <c r="F158" s="45">
        <v>25</v>
      </c>
      <c r="G158" s="45">
        <v>1.87</v>
      </c>
      <c r="H158" s="45">
        <v>0.1</v>
      </c>
    </row>
    <row r="159" spans="1:8" x14ac:dyDescent="0.35">
      <c r="A159" s="45">
        <v>596</v>
      </c>
      <c r="B159" s="45">
        <v>11</v>
      </c>
      <c r="C159" s="45" t="s">
        <v>23</v>
      </c>
      <c r="D159" s="45">
        <v>16.7</v>
      </c>
      <c r="E159" s="45">
        <v>736</v>
      </c>
      <c r="F159" s="45">
        <v>25</v>
      </c>
      <c r="G159" s="45">
        <v>1.87</v>
      </c>
      <c r="H159" s="45">
        <v>0.1</v>
      </c>
    </row>
    <row r="160" spans="1:8" x14ac:dyDescent="0.35">
      <c r="A160" s="45">
        <v>595</v>
      </c>
      <c r="B160" s="45">
        <v>11</v>
      </c>
      <c r="C160" s="45" t="s">
        <v>23</v>
      </c>
      <c r="D160" s="45">
        <v>5.4</v>
      </c>
      <c r="E160" s="45">
        <v>738</v>
      </c>
      <c r="F160" s="45">
        <v>25</v>
      </c>
      <c r="G160" s="45">
        <v>1.6</v>
      </c>
      <c r="H160" s="45">
        <v>0.1</v>
      </c>
    </row>
    <row r="161" spans="1:8" x14ac:dyDescent="0.35">
      <c r="A161" s="45">
        <v>594</v>
      </c>
      <c r="B161" s="45">
        <v>11</v>
      </c>
      <c r="C161" s="45" t="s">
        <v>23</v>
      </c>
      <c r="D161" s="45">
        <v>16.899999999999999</v>
      </c>
      <c r="E161" s="45">
        <v>738</v>
      </c>
      <c r="F161" s="45">
        <v>25</v>
      </c>
      <c r="G161" s="45">
        <v>1.6</v>
      </c>
      <c r="H161" s="45">
        <v>0.1</v>
      </c>
    </row>
    <row r="162" spans="1:8" x14ac:dyDescent="0.35">
      <c r="A162" s="45">
        <v>593</v>
      </c>
      <c r="B162" s="45">
        <v>7</v>
      </c>
      <c r="C162" s="45" t="s">
        <v>17</v>
      </c>
      <c r="D162" s="45">
        <v>2.8</v>
      </c>
      <c r="E162" s="45">
        <v>737</v>
      </c>
      <c r="F162" s="45">
        <v>25</v>
      </c>
      <c r="G162" s="45">
        <v>1.73</v>
      </c>
      <c r="H162" s="45">
        <v>0.1</v>
      </c>
    </row>
    <row r="163" spans="1:8" x14ac:dyDescent="0.35">
      <c r="A163" s="45">
        <v>592</v>
      </c>
      <c r="B163" s="45">
        <v>3</v>
      </c>
      <c r="C163" s="45" t="s">
        <v>20</v>
      </c>
      <c r="D163" s="45">
        <v>1.1000000000000001</v>
      </c>
      <c r="E163" s="45">
        <v>736</v>
      </c>
      <c r="F163" s="45">
        <v>25</v>
      </c>
      <c r="G163" s="45">
        <v>1.87</v>
      </c>
      <c r="H163" s="45">
        <v>0.1</v>
      </c>
    </row>
    <row r="164" spans="1:8" x14ac:dyDescent="0.35">
      <c r="A164" s="45">
        <v>591</v>
      </c>
      <c r="B164" s="45">
        <v>11</v>
      </c>
      <c r="C164" s="45" t="s">
        <v>23</v>
      </c>
      <c r="D164" s="45">
        <v>16.8</v>
      </c>
      <c r="E164" s="45">
        <v>736</v>
      </c>
      <c r="F164" s="45">
        <v>25</v>
      </c>
      <c r="G164" s="45">
        <v>1.87</v>
      </c>
      <c r="H164" s="45">
        <v>0.1</v>
      </c>
    </row>
    <row r="165" spans="1:8" x14ac:dyDescent="0.35">
      <c r="A165" s="45">
        <v>590</v>
      </c>
      <c r="B165" s="45">
        <v>11</v>
      </c>
      <c r="C165" s="45" t="s">
        <v>23</v>
      </c>
      <c r="D165" s="45">
        <v>17.600000000000001</v>
      </c>
      <c r="E165" s="45">
        <v>736</v>
      </c>
      <c r="F165" s="45">
        <v>25</v>
      </c>
      <c r="G165" s="45">
        <v>1.87</v>
      </c>
      <c r="H165" s="45">
        <v>0.1</v>
      </c>
    </row>
    <row r="166" spans="1:8" x14ac:dyDescent="0.35">
      <c r="A166" s="45">
        <v>589</v>
      </c>
      <c r="B166" s="45">
        <v>4</v>
      </c>
      <c r="C166" s="45" t="s">
        <v>28</v>
      </c>
      <c r="D166" s="45">
        <v>2.2999999999999998</v>
      </c>
      <c r="E166" s="45">
        <v>739</v>
      </c>
      <c r="F166" s="45">
        <v>25</v>
      </c>
      <c r="G166" s="45">
        <v>1.47</v>
      </c>
      <c r="H166" s="45">
        <v>0.10100000000000001</v>
      </c>
    </row>
    <row r="167" spans="1:8" x14ac:dyDescent="0.35">
      <c r="A167" s="45">
        <v>588</v>
      </c>
      <c r="B167" s="45">
        <v>3</v>
      </c>
      <c r="C167" s="45" t="s">
        <v>20</v>
      </c>
      <c r="D167" s="45">
        <v>1.2</v>
      </c>
      <c r="E167" s="45">
        <v>735</v>
      </c>
      <c r="F167" s="45">
        <v>25</v>
      </c>
      <c r="G167" s="45">
        <v>2</v>
      </c>
      <c r="H167" s="45">
        <v>0.1</v>
      </c>
    </row>
    <row r="168" spans="1:8" x14ac:dyDescent="0.35">
      <c r="A168" s="45">
        <v>587</v>
      </c>
      <c r="B168" s="45">
        <v>11</v>
      </c>
      <c r="C168" s="45" t="s">
        <v>23</v>
      </c>
      <c r="D168" s="45">
        <v>15.3</v>
      </c>
      <c r="E168" s="45">
        <v>736</v>
      </c>
      <c r="F168" s="45">
        <v>25</v>
      </c>
      <c r="G168" s="45">
        <v>1.87</v>
      </c>
      <c r="H168" s="45">
        <v>0.1</v>
      </c>
    </row>
    <row r="169" spans="1:8" x14ac:dyDescent="0.35">
      <c r="A169" s="45">
        <v>586</v>
      </c>
      <c r="B169" s="45">
        <v>6</v>
      </c>
      <c r="C169" s="45" t="s">
        <v>14</v>
      </c>
      <c r="D169" s="45">
        <v>1.2</v>
      </c>
      <c r="E169" s="45">
        <v>737</v>
      </c>
      <c r="F169" s="45">
        <v>25</v>
      </c>
      <c r="G169" s="45">
        <v>1.73</v>
      </c>
      <c r="H169" s="45">
        <v>0.1</v>
      </c>
    </row>
    <row r="170" spans="1:8" x14ac:dyDescent="0.35">
      <c r="A170" s="45">
        <v>585</v>
      </c>
      <c r="B170" s="45">
        <v>11</v>
      </c>
      <c r="C170" s="45" t="s">
        <v>23</v>
      </c>
      <c r="D170" s="45">
        <v>15</v>
      </c>
      <c r="E170" s="45">
        <v>736</v>
      </c>
      <c r="F170" s="45">
        <v>25</v>
      </c>
      <c r="G170" s="45">
        <v>1.87</v>
      </c>
      <c r="H170" s="45">
        <v>0.1</v>
      </c>
    </row>
    <row r="171" spans="1:8" x14ac:dyDescent="0.35">
      <c r="A171" s="45">
        <v>584</v>
      </c>
      <c r="B171" s="45">
        <v>11</v>
      </c>
      <c r="C171" s="45" t="s">
        <v>23</v>
      </c>
      <c r="D171" s="45">
        <v>19.600000000000001</v>
      </c>
      <c r="E171" s="45">
        <v>737</v>
      </c>
      <c r="F171" s="45">
        <v>25</v>
      </c>
      <c r="G171" s="45">
        <v>1.73</v>
      </c>
      <c r="H171" s="45">
        <v>0.1</v>
      </c>
    </row>
    <row r="172" spans="1:8" x14ac:dyDescent="0.35">
      <c r="A172" s="45">
        <v>583</v>
      </c>
      <c r="B172" s="45">
        <v>1</v>
      </c>
      <c r="C172" s="45" t="s">
        <v>41</v>
      </c>
      <c r="D172" s="45">
        <v>2.9</v>
      </c>
      <c r="E172" s="45">
        <v>738</v>
      </c>
      <c r="F172" s="45">
        <v>25</v>
      </c>
      <c r="G172" s="45">
        <v>1.6</v>
      </c>
      <c r="H172" s="45">
        <v>0.1</v>
      </c>
    </row>
    <row r="173" spans="1:8" x14ac:dyDescent="0.35">
      <c r="A173" s="45">
        <v>582</v>
      </c>
      <c r="B173" s="45">
        <v>11</v>
      </c>
      <c r="C173" s="45" t="s">
        <v>23</v>
      </c>
      <c r="D173" s="45">
        <v>42.9</v>
      </c>
      <c r="E173" s="45">
        <v>738</v>
      </c>
      <c r="F173" s="45">
        <v>25</v>
      </c>
      <c r="G173" s="45">
        <v>1.6</v>
      </c>
      <c r="H173" s="45">
        <v>0.1</v>
      </c>
    </row>
    <row r="174" spans="1:8" x14ac:dyDescent="0.35">
      <c r="A174" s="45">
        <v>581</v>
      </c>
      <c r="B174" s="45">
        <v>1</v>
      </c>
      <c r="C174" s="45" t="s">
        <v>41</v>
      </c>
      <c r="D174" s="45">
        <v>2.8</v>
      </c>
      <c r="E174" s="45">
        <v>736</v>
      </c>
      <c r="F174" s="45">
        <v>25</v>
      </c>
      <c r="G174" s="45">
        <v>1.87</v>
      </c>
      <c r="H174" s="45">
        <v>0.1</v>
      </c>
    </row>
    <row r="175" spans="1:8" x14ac:dyDescent="0.35">
      <c r="A175" s="45">
        <v>580</v>
      </c>
      <c r="B175" s="45">
        <v>4</v>
      </c>
      <c r="C175" s="45" t="s">
        <v>28</v>
      </c>
      <c r="D175" s="45">
        <v>2.2999999999999998</v>
      </c>
      <c r="E175" s="45">
        <v>735</v>
      </c>
      <c r="F175" s="45">
        <v>25</v>
      </c>
      <c r="G175" s="45">
        <v>2</v>
      </c>
      <c r="H175" s="45">
        <v>0.1</v>
      </c>
    </row>
    <row r="176" spans="1:8" x14ac:dyDescent="0.35">
      <c r="A176" s="45">
        <v>579</v>
      </c>
      <c r="B176" s="45">
        <v>9</v>
      </c>
      <c r="C176" s="45" t="s">
        <v>44</v>
      </c>
      <c r="D176" s="45">
        <v>1.2</v>
      </c>
      <c r="E176" s="45">
        <v>736</v>
      </c>
      <c r="F176" s="45">
        <v>25</v>
      </c>
      <c r="G176" s="45">
        <v>1.87</v>
      </c>
      <c r="H176" s="45">
        <v>0.1</v>
      </c>
    </row>
    <row r="177" spans="1:8" x14ac:dyDescent="0.35">
      <c r="A177" s="45">
        <v>578</v>
      </c>
      <c r="B177" s="45">
        <v>2</v>
      </c>
      <c r="C177" s="45" t="s">
        <v>74</v>
      </c>
      <c r="D177" s="45">
        <v>1.2</v>
      </c>
      <c r="E177" s="45">
        <v>738</v>
      </c>
      <c r="F177" s="45">
        <v>25</v>
      </c>
      <c r="G177" s="45">
        <v>1.6</v>
      </c>
      <c r="H177" s="45">
        <v>0.1</v>
      </c>
    </row>
    <row r="178" spans="1:8" x14ac:dyDescent="0.35">
      <c r="A178" s="45">
        <v>577</v>
      </c>
      <c r="B178" s="45">
        <v>4</v>
      </c>
      <c r="C178" s="45" t="s">
        <v>28</v>
      </c>
      <c r="D178" s="45">
        <v>2.2999999999999998</v>
      </c>
      <c r="E178" s="45">
        <v>737</v>
      </c>
      <c r="F178" s="45">
        <v>25</v>
      </c>
      <c r="G178" s="45">
        <v>1.73</v>
      </c>
      <c r="H178" s="45">
        <v>0.1</v>
      </c>
    </row>
    <row r="179" spans="1:8" x14ac:dyDescent="0.35">
      <c r="A179" s="45">
        <v>576</v>
      </c>
      <c r="B179" s="45">
        <v>11</v>
      </c>
      <c r="C179" s="45" t="s">
        <v>23</v>
      </c>
      <c r="D179" s="45">
        <v>33.4</v>
      </c>
      <c r="E179" s="45">
        <v>736</v>
      </c>
      <c r="F179" s="45">
        <v>25</v>
      </c>
      <c r="G179" s="45">
        <v>1.87</v>
      </c>
      <c r="H179" s="45">
        <v>0.1</v>
      </c>
    </row>
    <row r="180" spans="1:8" x14ac:dyDescent="0.35">
      <c r="A180" s="45">
        <v>575</v>
      </c>
      <c r="B180" s="45">
        <v>8</v>
      </c>
      <c r="C180" s="45" t="s">
        <v>38</v>
      </c>
      <c r="D180" s="45">
        <v>2.2999999999999998</v>
      </c>
      <c r="E180" s="45">
        <v>738</v>
      </c>
      <c r="F180" s="45">
        <v>25</v>
      </c>
      <c r="G180" s="45">
        <v>1.6</v>
      </c>
      <c r="H180" s="45">
        <v>0.1</v>
      </c>
    </row>
    <row r="181" spans="1:8" x14ac:dyDescent="0.35">
      <c r="A181" s="45">
        <v>574</v>
      </c>
      <c r="B181" s="45">
        <v>4</v>
      </c>
      <c r="C181" s="45" t="s">
        <v>28</v>
      </c>
      <c r="D181" s="45">
        <v>2.2999999999999998</v>
      </c>
      <c r="E181" s="45">
        <v>736</v>
      </c>
      <c r="F181" s="45">
        <v>25</v>
      </c>
      <c r="G181" s="45">
        <v>1.87</v>
      </c>
      <c r="H181" s="45">
        <v>0.1</v>
      </c>
    </row>
    <row r="182" spans="1:8" x14ac:dyDescent="0.35">
      <c r="A182" s="45">
        <v>573</v>
      </c>
      <c r="B182" s="45">
        <v>3</v>
      </c>
      <c r="C182" s="45" t="s">
        <v>20</v>
      </c>
      <c r="D182" s="45">
        <v>1.1000000000000001</v>
      </c>
      <c r="E182" s="45">
        <v>737</v>
      </c>
      <c r="F182" s="45">
        <v>25</v>
      </c>
      <c r="G182" s="45">
        <v>1.73</v>
      </c>
      <c r="H182" s="45">
        <v>0.1</v>
      </c>
    </row>
    <row r="183" spans="1:8" x14ac:dyDescent="0.35">
      <c r="A183" s="45">
        <v>572</v>
      </c>
      <c r="B183" s="45">
        <v>8</v>
      </c>
      <c r="C183" s="45" t="s">
        <v>38</v>
      </c>
      <c r="D183" s="45">
        <v>2.2999999999999998</v>
      </c>
      <c r="E183" s="45">
        <v>738</v>
      </c>
      <c r="F183" s="45">
        <v>25</v>
      </c>
      <c r="G183" s="45">
        <v>1.6</v>
      </c>
      <c r="H183" s="45">
        <v>0.1</v>
      </c>
    </row>
    <row r="184" spans="1:8" x14ac:dyDescent="0.35">
      <c r="A184" s="45">
        <v>571</v>
      </c>
      <c r="B184" s="45">
        <v>1</v>
      </c>
      <c r="C184" s="45" t="s">
        <v>41</v>
      </c>
      <c r="D184" s="45">
        <v>2.8</v>
      </c>
      <c r="E184" s="45">
        <v>737</v>
      </c>
      <c r="F184" s="45">
        <v>25</v>
      </c>
      <c r="G184" s="45">
        <v>1.73</v>
      </c>
      <c r="H184" s="45">
        <v>0.1</v>
      </c>
    </row>
    <row r="185" spans="1:8" x14ac:dyDescent="0.35">
      <c r="A185" s="45">
        <v>570</v>
      </c>
      <c r="B185" s="45">
        <v>9</v>
      </c>
      <c r="C185" s="45" t="s">
        <v>44</v>
      </c>
      <c r="D185" s="45">
        <v>1.2</v>
      </c>
      <c r="E185" s="45">
        <v>738</v>
      </c>
      <c r="F185" s="45">
        <v>25</v>
      </c>
      <c r="G185" s="45">
        <v>1.6</v>
      </c>
      <c r="H185" s="45">
        <v>0.1</v>
      </c>
    </row>
    <row r="186" spans="1:8" x14ac:dyDescent="0.35">
      <c r="A186" s="45">
        <v>569</v>
      </c>
      <c r="B186" s="45">
        <v>11</v>
      </c>
      <c r="C186" s="45" t="s">
        <v>23</v>
      </c>
      <c r="D186" s="45">
        <v>19.5</v>
      </c>
      <c r="E186" s="45">
        <v>736</v>
      </c>
      <c r="F186" s="45">
        <v>25</v>
      </c>
      <c r="G186" s="45">
        <v>1.87</v>
      </c>
      <c r="H186" s="45">
        <v>0.1</v>
      </c>
    </row>
    <row r="187" spans="1:8" x14ac:dyDescent="0.35">
      <c r="A187" s="45">
        <v>568</v>
      </c>
      <c r="B187" s="45">
        <v>11</v>
      </c>
      <c r="C187" s="45" t="s">
        <v>23</v>
      </c>
      <c r="D187" s="45">
        <v>16.5</v>
      </c>
      <c r="E187" s="45">
        <v>738</v>
      </c>
      <c r="F187" s="45">
        <v>25</v>
      </c>
      <c r="G187" s="45">
        <v>1.6</v>
      </c>
      <c r="H187" s="45">
        <v>0.1</v>
      </c>
    </row>
    <row r="188" spans="1:8" x14ac:dyDescent="0.35">
      <c r="A188" s="45">
        <v>567</v>
      </c>
      <c r="B188" s="45">
        <v>5</v>
      </c>
      <c r="C188" s="45" t="s">
        <v>35</v>
      </c>
      <c r="D188" s="45">
        <v>1.1000000000000001</v>
      </c>
      <c r="E188" s="45">
        <v>737</v>
      </c>
      <c r="F188" s="45">
        <v>25</v>
      </c>
      <c r="G188" s="45">
        <v>1.73</v>
      </c>
      <c r="H188" s="45">
        <v>0.1</v>
      </c>
    </row>
    <row r="189" spans="1:8" x14ac:dyDescent="0.35">
      <c r="A189" s="45">
        <v>566</v>
      </c>
      <c r="B189" s="45">
        <v>11</v>
      </c>
      <c r="C189" s="45" t="s">
        <v>23</v>
      </c>
      <c r="D189" s="45">
        <v>17.3</v>
      </c>
      <c r="E189" s="45">
        <v>738</v>
      </c>
      <c r="F189" s="45">
        <v>25</v>
      </c>
      <c r="G189" s="45">
        <v>1.6</v>
      </c>
      <c r="H189" s="45">
        <v>0.1</v>
      </c>
    </row>
    <row r="190" spans="1:8" x14ac:dyDescent="0.35">
      <c r="A190" s="45">
        <v>565</v>
      </c>
      <c r="B190" s="45">
        <v>11</v>
      </c>
      <c r="C190" s="45" t="s">
        <v>23</v>
      </c>
      <c r="D190" s="45">
        <v>6.6</v>
      </c>
      <c r="E190" s="45">
        <v>738</v>
      </c>
      <c r="F190" s="45">
        <v>25</v>
      </c>
      <c r="G190" s="45">
        <v>1.6</v>
      </c>
      <c r="H190" s="45">
        <v>0.1</v>
      </c>
    </row>
    <row r="191" spans="1:8" x14ac:dyDescent="0.35">
      <c r="A191" s="45">
        <v>564</v>
      </c>
      <c r="B191" s="45">
        <v>7</v>
      </c>
      <c r="C191" s="45" t="s">
        <v>17</v>
      </c>
      <c r="D191" s="45">
        <v>2.9</v>
      </c>
      <c r="E191" s="45">
        <v>737</v>
      </c>
      <c r="F191" s="45">
        <v>25</v>
      </c>
      <c r="G191" s="45">
        <v>1.73</v>
      </c>
      <c r="H191" s="45">
        <v>0.1</v>
      </c>
    </row>
    <row r="192" spans="1:8" x14ac:dyDescent="0.35">
      <c r="A192" s="45">
        <v>563</v>
      </c>
      <c r="B192" s="45">
        <v>3</v>
      </c>
      <c r="C192" s="45" t="s">
        <v>20</v>
      </c>
      <c r="D192" s="45">
        <v>1.1000000000000001</v>
      </c>
      <c r="E192" s="45">
        <v>738</v>
      </c>
      <c r="F192" s="45">
        <v>25</v>
      </c>
      <c r="G192" s="45">
        <v>1.6</v>
      </c>
      <c r="H192" s="45">
        <v>0.1</v>
      </c>
    </row>
    <row r="193" spans="1:8" x14ac:dyDescent="0.35">
      <c r="A193" s="45">
        <v>562</v>
      </c>
      <c r="B193" s="45">
        <v>7</v>
      </c>
      <c r="C193" s="45" t="s">
        <v>17</v>
      </c>
      <c r="D193" s="45">
        <v>2.9</v>
      </c>
      <c r="E193" s="45">
        <v>735</v>
      </c>
      <c r="F193" s="45">
        <v>25</v>
      </c>
      <c r="G193" s="45">
        <v>2</v>
      </c>
      <c r="H193" s="45">
        <v>0.1</v>
      </c>
    </row>
    <row r="194" spans="1:8" x14ac:dyDescent="0.35">
      <c r="A194" s="45">
        <v>561</v>
      </c>
      <c r="B194" s="45">
        <v>9</v>
      </c>
      <c r="C194" s="45" t="s">
        <v>44</v>
      </c>
      <c r="D194" s="45">
        <v>1.2</v>
      </c>
      <c r="E194" s="45">
        <v>737</v>
      </c>
      <c r="F194" s="45">
        <v>25</v>
      </c>
      <c r="G194" s="45">
        <v>1.73</v>
      </c>
      <c r="H194" s="45">
        <v>0.1</v>
      </c>
    </row>
    <row r="195" spans="1:8" x14ac:dyDescent="0.35">
      <c r="A195" s="45">
        <v>560</v>
      </c>
      <c r="B195" s="45">
        <v>11</v>
      </c>
      <c r="C195" s="45" t="s">
        <v>23</v>
      </c>
      <c r="D195" s="45">
        <v>21.6</v>
      </c>
      <c r="E195" s="45">
        <v>735</v>
      </c>
      <c r="F195" s="45">
        <v>25</v>
      </c>
      <c r="G195" s="45">
        <v>2</v>
      </c>
      <c r="H195" s="45">
        <v>0.1</v>
      </c>
    </row>
    <row r="196" spans="1:8" x14ac:dyDescent="0.35">
      <c r="A196" s="45">
        <v>559</v>
      </c>
      <c r="B196" s="45">
        <v>1</v>
      </c>
      <c r="C196" s="45" t="s">
        <v>41</v>
      </c>
      <c r="D196" s="45">
        <v>2.8</v>
      </c>
      <c r="E196" s="45">
        <v>736</v>
      </c>
      <c r="F196" s="45">
        <v>25</v>
      </c>
      <c r="G196" s="45">
        <v>1.87</v>
      </c>
      <c r="H196" s="45">
        <v>0.1</v>
      </c>
    </row>
    <row r="197" spans="1:8" x14ac:dyDescent="0.35">
      <c r="A197" s="45">
        <v>558</v>
      </c>
      <c r="B197" s="45">
        <v>6</v>
      </c>
      <c r="C197" s="45" t="s">
        <v>14</v>
      </c>
      <c r="D197" s="45">
        <v>1.2</v>
      </c>
      <c r="E197" s="45">
        <v>737</v>
      </c>
      <c r="F197" s="45">
        <v>25</v>
      </c>
      <c r="G197" s="45">
        <v>1.73</v>
      </c>
      <c r="H197" s="45">
        <v>0.1</v>
      </c>
    </row>
    <row r="198" spans="1:8" x14ac:dyDescent="0.35">
      <c r="A198" s="45">
        <v>557</v>
      </c>
      <c r="B198" s="45">
        <v>8</v>
      </c>
      <c r="C198" s="45" t="s">
        <v>38</v>
      </c>
      <c r="D198" s="45">
        <v>2.2999999999999998</v>
      </c>
      <c r="E198" s="45">
        <v>735</v>
      </c>
      <c r="F198" s="45">
        <v>25</v>
      </c>
      <c r="G198" s="45">
        <v>2</v>
      </c>
      <c r="H198" s="45">
        <v>0.1</v>
      </c>
    </row>
    <row r="199" spans="1:8" x14ac:dyDescent="0.35">
      <c r="A199" s="45">
        <v>556</v>
      </c>
      <c r="B199" s="45">
        <v>11</v>
      </c>
      <c r="C199" s="45" t="s">
        <v>23</v>
      </c>
      <c r="D199" s="45">
        <v>16.600000000000001</v>
      </c>
      <c r="E199" s="45">
        <v>736</v>
      </c>
      <c r="F199" s="45">
        <v>25</v>
      </c>
      <c r="G199" s="45">
        <v>1.87</v>
      </c>
      <c r="H199" s="45">
        <v>0.1</v>
      </c>
    </row>
    <row r="200" spans="1:8" x14ac:dyDescent="0.35">
      <c r="A200" s="45">
        <v>555</v>
      </c>
      <c r="B200" s="45">
        <v>3</v>
      </c>
      <c r="C200" s="45" t="s">
        <v>20</v>
      </c>
      <c r="D200" s="45">
        <v>1.2</v>
      </c>
      <c r="E200" s="45">
        <v>735</v>
      </c>
      <c r="F200" s="45">
        <v>25</v>
      </c>
      <c r="G200" s="45">
        <v>2</v>
      </c>
      <c r="H200" s="45">
        <v>0.1</v>
      </c>
    </row>
    <row r="201" spans="1:8" x14ac:dyDescent="0.35">
      <c r="A201" s="45">
        <v>554</v>
      </c>
      <c r="B201" s="45">
        <v>9</v>
      </c>
      <c r="C201" s="45" t="s">
        <v>44</v>
      </c>
      <c r="D201" s="45">
        <v>1.3</v>
      </c>
      <c r="E201" s="45">
        <v>738</v>
      </c>
      <c r="F201" s="45">
        <v>25</v>
      </c>
      <c r="G201" s="45">
        <v>1.6</v>
      </c>
      <c r="H201" s="45">
        <v>0.1</v>
      </c>
    </row>
    <row r="202" spans="1:8" x14ac:dyDescent="0.35">
      <c r="A202" s="45">
        <v>553</v>
      </c>
      <c r="B202" s="45">
        <v>11</v>
      </c>
      <c r="C202" s="45" t="s">
        <v>23</v>
      </c>
      <c r="D202" s="45">
        <v>15.1</v>
      </c>
      <c r="E202" s="45">
        <v>737</v>
      </c>
      <c r="F202" s="45">
        <v>25</v>
      </c>
      <c r="G202" s="45">
        <v>1.73</v>
      </c>
      <c r="H202" s="45">
        <v>0.1</v>
      </c>
    </row>
    <row r="203" spans="1:8" x14ac:dyDescent="0.35">
      <c r="A203" s="45">
        <v>552</v>
      </c>
      <c r="B203" s="45">
        <v>4</v>
      </c>
      <c r="C203" s="45" t="s">
        <v>28</v>
      </c>
      <c r="D203" s="45">
        <v>2.2000000000000002</v>
      </c>
      <c r="E203" s="45">
        <v>737</v>
      </c>
      <c r="F203" s="45">
        <v>25</v>
      </c>
      <c r="G203" s="45">
        <v>1.73</v>
      </c>
      <c r="H203" s="45">
        <v>0.1</v>
      </c>
    </row>
    <row r="204" spans="1:8" x14ac:dyDescent="0.35">
      <c r="A204" s="45">
        <v>551</v>
      </c>
      <c r="B204" s="45">
        <v>9</v>
      </c>
      <c r="C204" s="45" t="s">
        <v>44</v>
      </c>
      <c r="D204" s="45">
        <v>0.9</v>
      </c>
      <c r="E204" s="45">
        <v>736</v>
      </c>
      <c r="F204" s="45">
        <v>25</v>
      </c>
      <c r="G204" s="45">
        <v>1.87</v>
      </c>
      <c r="H204" s="45">
        <v>0.1</v>
      </c>
    </row>
    <row r="205" spans="1:8" x14ac:dyDescent="0.35">
      <c r="A205" s="44" t="s">
        <v>1626</v>
      </c>
      <c r="B205" s="44" t="s">
        <v>1627</v>
      </c>
      <c r="C205" s="44" t="s">
        <v>4</v>
      </c>
      <c r="D205" s="44" t="s">
        <v>5</v>
      </c>
      <c r="E205" s="44" t="s">
        <v>6</v>
      </c>
      <c r="F205" s="44" t="s">
        <v>1629</v>
      </c>
      <c r="G205" s="44" t="s">
        <v>1628</v>
      </c>
      <c r="H205" s="44" t="s">
        <v>10</v>
      </c>
    </row>
    <row r="206" spans="1:8" x14ac:dyDescent="0.35">
      <c r="A206" s="45">
        <v>550</v>
      </c>
      <c r="B206" s="45">
        <v>6</v>
      </c>
      <c r="C206" s="45" t="s">
        <v>14</v>
      </c>
      <c r="D206" s="45">
        <v>1.3</v>
      </c>
      <c r="E206" s="45">
        <v>587</v>
      </c>
      <c r="F206" s="45">
        <v>20</v>
      </c>
      <c r="G206" s="45">
        <v>2.17</v>
      </c>
      <c r="H206" s="45">
        <v>0.08</v>
      </c>
    </row>
    <row r="207" spans="1:8" x14ac:dyDescent="0.35">
      <c r="A207" s="45">
        <v>549</v>
      </c>
      <c r="B207" s="45">
        <v>8</v>
      </c>
      <c r="C207" s="45" t="s">
        <v>38</v>
      </c>
      <c r="D207" s="45">
        <v>2.4</v>
      </c>
      <c r="E207" s="45">
        <v>586</v>
      </c>
      <c r="F207" s="45">
        <v>20</v>
      </c>
      <c r="G207" s="45">
        <v>2.33</v>
      </c>
      <c r="H207" s="45">
        <v>0.08</v>
      </c>
    </row>
    <row r="208" spans="1:8" x14ac:dyDescent="0.35">
      <c r="A208" s="45">
        <v>548</v>
      </c>
      <c r="B208" s="45">
        <v>9</v>
      </c>
      <c r="C208" s="45" t="s">
        <v>44</v>
      </c>
      <c r="D208" s="45">
        <v>1.1000000000000001</v>
      </c>
      <c r="E208" s="45">
        <v>587</v>
      </c>
      <c r="F208" s="45">
        <v>20</v>
      </c>
      <c r="G208" s="45">
        <v>2.17</v>
      </c>
      <c r="H208" s="45">
        <v>0.08</v>
      </c>
    </row>
    <row r="209" spans="1:8" x14ac:dyDescent="0.35">
      <c r="A209" s="45">
        <v>547</v>
      </c>
      <c r="B209" s="45">
        <v>11</v>
      </c>
      <c r="C209" s="45" t="s">
        <v>23</v>
      </c>
      <c r="D209" s="45">
        <v>22.3</v>
      </c>
      <c r="E209" s="45">
        <v>589</v>
      </c>
      <c r="F209" s="45">
        <v>20</v>
      </c>
      <c r="G209" s="45">
        <v>1.83</v>
      </c>
      <c r="H209" s="45">
        <v>0.08</v>
      </c>
    </row>
    <row r="210" spans="1:8" x14ac:dyDescent="0.35">
      <c r="A210" s="45">
        <v>546</v>
      </c>
      <c r="B210" s="45">
        <v>11</v>
      </c>
      <c r="C210" s="45" t="s">
        <v>23</v>
      </c>
      <c r="D210" s="45">
        <v>17</v>
      </c>
      <c r="E210" s="45">
        <v>586</v>
      </c>
      <c r="F210" s="45">
        <v>20</v>
      </c>
      <c r="G210" s="45">
        <v>2.33</v>
      </c>
      <c r="H210" s="45">
        <v>0.08</v>
      </c>
    </row>
    <row r="211" spans="1:8" x14ac:dyDescent="0.35">
      <c r="A211" s="45">
        <v>545</v>
      </c>
      <c r="B211" s="45">
        <v>2</v>
      </c>
      <c r="C211" s="45" t="s">
        <v>74</v>
      </c>
      <c r="D211" s="45">
        <v>1.3</v>
      </c>
      <c r="E211" s="45">
        <v>585</v>
      </c>
      <c r="F211" s="45">
        <v>20</v>
      </c>
      <c r="G211" s="45">
        <v>2.5</v>
      </c>
      <c r="H211" s="45">
        <v>0.08</v>
      </c>
    </row>
    <row r="212" spans="1:8" x14ac:dyDescent="0.35">
      <c r="A212" s="45">
        <v>544</v>
      </c>
      <c r="B212" s="45">
        <v>3</v>
      </c>
      <c r="C212" s="45" t="s">
        <v>20</v>
      </c>
      <c r="D212" s="45">
        <v>1.1000000000000001</v>
      </c>
      <c r="E212" s="45">
        <v>585</v>
      </c>
      <c r="F212" s="45">
        <v>20</v>
      </c>
      <c r="G212" s="45">
        <v>2.5</v>
      </c>
      <c r="H212" s="45">
        <v>0.08</v>
      </c>
    </row>
    <row r="213" spans="1:8" x14ac:dyDescent="0.35">
      <c r="A213" s="45">
        <v>543</v>
      </c>
      <c r="B213" s="45">
        <v>4</v>
      </c>
      <c r="C213" s="45" t="s">
        <v>28</v>
      </c>
      <c r="D213" s="45">
        <v>2.2999999999999998</v>
      </c>
      <c r="E213" s="45">
        <v>586</v>
      </c>
      <c r="F213" s="45">
        <v>20</v>
      </c>
      <c r="G213" s="45">
        <v>2.33</v>
      </c>
      <c r="H213" s="45">
        <v>0.08</v>
      </c>
    </row>
    <row r="214" spans="1:8" x14ac:dyDescent="0.35">
      <c r="A214" s="45">
        <v>542</v>
      </c>
      <c r="B214" s="45">
        <v>11</v>
      </c>
      <c r="C214" s="45" t="s">
        <v>23</v>
      </c>
      <c r="D214" s="45">
        <v>16.2</v>
      </c>
      <c r="E214" s="45">
        <v>586</v>
      </c>
      <c r="F214" s="45">
        <v>20</v>
      </c>
      <c r="G214" s="45">
        <v>2.33</v>
      </c>
      <c r="H214" s="45">
        <v>0.08</v>
      </c>
    </row>
    <row r="215" spans="1:8" x14ac:dyDescent="0.35">
      <c r="A215" s="45">
        <v>541</v>
      </c>
      <c r="B215" s="45">
        <v>3</v>
      </c>
      <c r="C215" s="45" t="s">
        <v>20</v>
      </c>
      <c r="D215" s="45">
        <v>1.3</v>
      </c>
      <c r="E215" s="45">
        <v>587</v>
      </c>
      <c r="F215" s="45">
        <v>20</v>
      </c>
      <c r="G215" s="45">
        <v>2.17</v>
      </c>
      <c r="H215" s="45">
        <v>0.08</v>
      </c>
    </row>
    <row r="216" spans="1:8" x14ac:dyDescent="0.35">
      <c r="A216" s="45">
        <v>540</v>
      </c>
      <c r="B216" s="45">
        <v>4</v>
      </c>
      <c r="C216" s="45" t="s">
        <v>28</v>
      </c>
      <c r="D216" s="45">
        <v>2.4</v>
      </c>
      <c r="E216" s="45">
        <v>586</v>
      </c>
      <c r="F216" s="45">
        <v>20</v>
      </c>
      <c r="G216" s="45">
        <v>2.33</v>
      </c>
      <c r="H216" s="45">
        <v>0.08</v>
      </c>
    </row>
    <row r="217" spans="1:8" x14ac:dyDescent="0.35">
      <c r="A217" s="45">
        <v>539</v>
      </c>
      <c r="B217" s="45">
        <v>11</v>
      </c>
      <c r="C217" s="45" t="s">
        <v>23</v>
      </c>
      <c r="D217" s="45">
        <v>22.2</v>
      </c>
      <c r="E217" s="45">
        <v>586</v>
      </c>
      <c r="F217" s="45">
        <v>20</v>
      </c>
      <c r="G217" s="45">
        <v>2.33</v>
      </c>
      <c r="H217" s="45">
        <v>0.08</v>
      </c>
    </row>
    <row r="218" spans="1:8" x14ac:dyDescent="0.35">
      <c r="A218" s="45">
        <v>538</v>
      </c>
      <c r="B218" s="45">
        <v>3</v>
      </c>
      <c r="C218" s="45" t="s">
        <v>20</v>
      </c>
      <c r="D218" s="45">
        <v>5</v>
      </c>
      <c r="E218" s="45">
        <v>588</v>
      </c>
      <c r="F218" s="45">
        <v>20</v>
      </c>
      <c r="G218" s="45">
        <v>2</v>
      </c>
      <c r="H218" s="45">
        <v>0.08</v>
      </c>
    </row>
    <row r="219" spans="1:8" x14ac:dyDescent="0.35">
      <c r="A219" s="45">
        <v>537</v>
      </c>
      <c r="B219" s="45">
        <v>3</v>
      </c>
      <c r="C219" s="45" t="s">
        <v>20</v>
      </c>
      <c r="D219" s="45">
        <v>1.2</v>
      </c>
      <c r="E219" s="45">
        <v>587</v>
      </c>
      <c r="F219" s="45">
        <v>20</v>
      </c>
      <c r="G219" s="45">
        <v>2.17</v>
      </c>
      <c r="H219" s="45">
        <v>0.08</v>
      </c>
    </row>
    <row r="220" spans="1:8" x14ac:dyDescent="0.35">
      <c r="A220" s="45">
        <v>536</v>
      </c>
      <c r="B220" s="45">
        <v>6</v>
      </c>
      <c r="C220" s="45" t="s">
        <v>14</v>
      </c>
      <c r="D220" s="45">
        <v>1.3</v>
      </c>
      <c r="E220" s="45">
        <v>586</v>
      </c>
      <c r="F220" s="45">
        <v>20</v>
      </c>
      <c r="G220" s="45">
        <v>2.33</v>
      </c>
      <c r="H220" s="45">
        <v>0.08</v>
      </c>
    </row>
    <row r="221" spans="1:8" x14ac:dyDescent="0.35">
      <c r="A221" s="45">
        <v>535</v>
      </c>
      <c r="B221" s="45">
        <v>11</v>
      </c>
      <c r="C221" s="45" t="s">
        <v>23</v>
      </c>
      <c r="D221" s="45">
        <v>17.600000000000001</v>
      </c>
      <c r="E221" s="45">
        <v>585</v>
      </c>
      <c r="F221" s="45">
        <v>20</v>
      </c>
      <c r="G221" s="45">
        <v>2.5</v>
      </c>
      <c r="H221" s="45">
        <v>0.08</v>
      </c>
    </row>
    <row r="222" spans="1:8" x14ac:dyDescent="0.35">
      <c r="A222" s="45">
        <v>534</v>
      </c>
      <c r="B222" s="45">
        <v>11</v>
      </c>
      <c r="C222" s="45" t="s">
        <v>23</v>
      </c>
      <c r="D222" s="45">
        <v>5.9</v>
      </c>
      <c r="E222" s="45">
        <v>585</v>
      </c>
      <c r="F222" s="45">
        <v>20</v>
      </c>
      <c r="G222" s="45">
        <v>2.5</v>
      </c>
      <c r="H222" s="45">
        <v>0.08</v>
      </c>
    </row>
    <row r="223" spans="1:8" x14ac:dyDescent="0.35">
      <c r="A223" s="45">
        <v>533</v>
      </c>
      <c r="B223" s="45">
        <v>11</v>
      </c>
      <c r="C223" s="45" t="s">
        <v>23</v>
      </c>
      <c r="D223" s="45">
        <v>18.600000000000001</v>
      </c>
      <c r="E223" s="45">
        <v>588</v>
      </c>
      <c r="F223" s="45">
        <v>20</v>
      </c>
      <c r="G223" s="45">
        <v>2</v>
      </c>
      <c r="H223" s="45">
        <v>0.08</v>
      </c>
    </row>
    <row r="224" spans="1:8" x14ac:dyDescent="0.35">
      <c r="A224" s="45">
        <v>532</v>
      </c>
      <c r="B224" s="45">
        <v>3</v>
      </c>
      <c r="C224" s="45" t="s">
        <v>20</v>
      </c>
      <c r="D224" s="45">
        <v>1</v>
      </c>
      <c r="E224" s="45">
        <v>586</v>
      </c>
      <c r="F224" s="45">
        <v>20</v>
      </c>
      <c r="G224" s="45">
        <v>2.33</v>
      </c>
      <c r="H224" s="45">
        <v>0.08</v>
      </c>
    </row>
    <row r="225" spans="1:8" x14ac:dyDescent="0.35">
      <c r="A225" s="45">
        <v>531</v>
      </c>
      <c r="B225" s="45">
        <v>1</v>
      </c>
      <c r="C225" s="45" t="s">
        <v>41</v>
      </c>
      <c r="D225" s="45">
        <v>3.4</v>
      </c>
      <c r="E225" s="45">
        <v>588</v>
      </c>
      <c r="F225" s="45">
        <v>20</v>
      </c>
      <c r="G225" s="45">
        <v>2</v>
      </c>
      <c r="H225" s="45">
        <v>0.08</v>
      </c>
    </row>
    <row r="226" spans="1:8" x14ac:dyDescent="0.35">
      <c r="A226" s="45">
        <v>530</v>
      </c>
      <c r="B226" s="45">
        <v>11</v>
      </c>
      <c r="C226" s="45" t="s">
        <v>23</v>
      </c>
      <c r="D226" s="45">
        <v>36.9</v>
      </c>
      <c r="E226" s="45">
        <v>585</v>
      </c>
      <c r="F226" s="45">
        <v>20</v>
      </c>
      <c r="G226" s="45">
        <v>2.5</v>
      </c>
      <c r="H226" s="45">
        <v>0.08</v>
      </c>
    </row>
    <row r="227" spans="1:8" x14ac:dyDescent="0.35">
      <c r="A227" s="45">
        <v>529</v>
      </c>
      <c r="B227" s="45">
        <v>9</v>
      </c>
      <c r="C227" s="45" t="s">
        <v>44</v>
      </c>
      <c r="D227" s="45">
        <v>1.1000000000000001</v>
      </c>
      <c r="E227" s="45">
        <v>586</v>
      </c>
      <c r="F227" s="45">
        <v>20</v>
      </c>
      <c r="G227" s="45">
        <v>2.33</v>
      </c>
      <c r="H227" s="45">
        <v>0.08</v>
      </c>
    </row>
    <row r="228" spans="1:8" x14ac:dyDescent="0.35">
      <c r="A228" s="45">
        <v>528</v>
      </c>
      <c r="B228" s="45">
        <v>11</v>
      </c>
      <c r="C228" s="45" t="s">
        <v>23</v>
      </c>
      <c r="D228" s="45">
        <v>19.100000000000001</v>
      </c>
      <c r="E228" s="45">
        <v>588</v>
      </c>
      <c r="F228" s="45">
        <v>20</v>
      </c>
      <c r="G228" s="45">
        <v>2</v>
      </c>
      <c r="H228" s="45">
        <v>0.08</v>
      </c>
    </row>
    <row r="229" spans="1:8" x14ac:dyDescent="0.35">
      <c r="A229" s="45">
        <v>527</v>
      </c>
      <c r="B229" s="45">
        <v>7</v>
      </c>
      <c r="C229" s="45" t="s">
        <v>17</v>
      </c>
      <c r="D229" s="45">
        <v>2.8</v>
      </c>
      <c r="E229" s="45">
        <v>587</v>
      </c>
      <c r="F229" s="45">
        <v>20</v>
      </c>
      <c r="G229" s="45">
        <v>2.17</v>
      </c>
      <c r="H229" s="45">
        <v>0.08</v>
      </c>
    </row>
    <row r="230" spans="1:8" x14ac:dyDescent="0.35">
      <c r="A230" s="45">
        <v>526</v>
      </c>
      <c r="B230" s="45">
        <v>9</v>
      </c>
      <c r="C230" s="45" t="s">
        <v>44</v>
      </c>
      <c r="D230" s="45">
        <v>1</v>
      </c>
      <c r="E230" s="45">
        <v>585</v>
      </c>
      <c r="F230" s="45">
        <v>20</v>
      </c>
      <c r="G230" s="45">
        <v>2.5</v>
      </c>
      <c r="H230" s="45">
        <v>0.08</v>
      </c>
    </row>
    <row r="231" spans="1:8" x14ac:dyDescent="0.35">
      <c r="A231" s="45">
        <v>525</v>
      </c>
      <c r="B231" s="45">
        <v>3</v>
      </c>
      <c r="C231" s="45" t="s">
        <v>20</v>
      </c>
      <c r="D231" s="45">
        <v>1.3</v>
      </c>
      <c r="E231" s="45">
        <v>588</v>
      </c>
      <c r="F231" s="45">
        <v>20</v>
      </c>
      <c r="G231" s="45">
        <v>2</v>
      </c>
      <c r="H231" s="45">
        <v>0.08</v>
      </c>
    </row>
    <row r="232" spans="1:8" x14ac:dyDescent="0.35">
      <c r="A232" s="45">
        <v>524</v>
      </c>
      <c r="B232" s="45">
        <v>11</v>
      </c>
      <c r="C232" s="45" t="s">
        <v>23</v>
      </c>
      <c r="D232" s="45">
        <v>19.899999999999999</v>
      </c>
      <c r="E232" s="45">
        <v>586</v>
      </c>
      <c r="F232" s="45">
        <v>20</v>
      </c>
      <c r="G232" s="45">
        <v>2.33</v>
      </c>
      <c r="H232" s="45">
        <v>0.08</v>
      </c>
    </row>
    <row r="233" spans="1:8" x14ac:dyDescent="0.35">
      <c r="A233" s="45">
        <v>523</v>
      </c>
      <c r="B233" s="45">
        <v>4</v>
      </c>
      <c r="C233" s="45" t="s">
        <v>28</v>
      </c>
      <c r="D233" s="45">
        <v>2.4</v>
      </c>
      <c r="E233" s="45">
        <v>586</v>
      </c>
      <c r="F233" s="45">
        <v>20</v>
      </c>
      <c r="G233" s="45">
        <v>2.33</v>
      </c>
      <c r="H233" s="45">
        <v>0.08</v>
      </c>
    </row>
    <row r="234" spans="1:8" x14ac:dyDescent="0.35">
      <c r="A234" s="45">
        <v>522</v>
      </c>
      <c r="B234" s="45">
        <v>1</v>
      </c>
      <c r="C234" s="45" t="s">
        <v>41</v>
      </c>
      <c r="D234" s="45">
        <v>3</v>
      </c>
      <c r="E234" s="45">
        <v>588</v>
      </c>
      <c r="F234" s="45">
        <v>20</v>
      </c>
      <c r="G234" s="45">
        <v>2</v>
      </c>
      <c r="H234" s="45">
        <v>0.08</v>
      </c>
    </row>
    <row r="235" spans="1:8" x14ac:dyDescent="0.35">
      <c r="A235" s="45">
        <v>521</v>
      </c>
      <c r="B235" s="45">
        <v>11</v>
      </c>
      <c r="C235" s="45" t="s">
        <v>23</v>
      </c>
      <c r="D235" s="45">
        <v>15.7</v>
      </c>
      <c r="E235" s="45">
        <v>587</v>
      </c>
      <c r="F235" s="45">
        <v>20</v>
      </c>
      <c r="G235" s="45">
        <v>2.17</v>
      </c>
      <c r="H235" s="45">
        <v>0.08</v>
      </c>
    </row>
    <row r="236" spans="1:8" x14ac:dyDescent="0.35">
      <c r="A236" s="45">
        <v>520</v>
      </c>
      <c r="B236" s="45">
        <v>11</v>
      </c>
      <c r="C236" s="45" t="s">
        <v>23</v>
      </c>
      <c r="D236" s="45">
        <v>31.3</v>
      </c>
      <c r="E236" s="45">
        <v>586</v>
      </c>
      <c r="F236" s="45">
        <v>20</v>
      </c>
      <c r="G236" s="45">
        <v>2.33</v>
      </c>
      <c r="H236" s="45">
        <v>0.08</v>
      </c>
    </row>
    <row r="237" spans="1:8" x14ac:dyDescent="0.35">
      <c r="A237" s="45">
        <v>519</v>
      </c>
      <c r="B237" s="45">
        <v>6</v>
      </c>
      <c r="C237" s="45" t="s">
        <v>14</v>
      </c>
      <c r="D237" s="45">
        <v>1.3</v>
      </c>
      <c r="E237" s="45">
        <v>586</v>
      </c>
      <c r="F237" s="45">
        <v>20</v>
      </c>
      <c r="G237" s="45">
        <v>2.33</v>
      </c>
      <c r="H237" s="45">
        <v>0.08</v>
      </c>
    </row>
    <row r="238" spans="1:8" x14ac:dyDescent="0.35">
      <c r="A238" s="45">
        <v>518</v>
      </c>
      <c r="B238" s="45">
        <v>11</v>
      </c>
      <c r="C238" s="45" t="s">
        <v>23</v>
      </c>
      <c r="D238" s="45">
        <v>19.2</v>
      </c>
      <c r="E238" s="45">
        <v>589</v>
      </c>
      <c r="F238" s="45">
        <v>20</v>
      </c>
      <c r="G238" s="45">
        <v>1.83</v>
      </c>
      <c r="H238" s="45">
        <v>0.08</v>
      </c>
    </row>
    <row r="239" spans="1:8" x14ac:dyDescent="0.35">
      <c r="A239" s="45">
        <v>517</v>
      </c>
      <c r="B239" s="45">
        <v>9</v>
      </c>
      <c r="C239" s="45" t="s">
        <v>44</v>
      </c>
      <c r="D239" s="45">
        <v>1.2</v>
      </c>
      <c r="E239" s="45">
        <v>586</v>
      </c>
      <c r="F239" s="45">
        <v>20</v>
      </c>
      <c r="G239" s="45">
        <v>2.33</v>
      </c>
      <c r="H239" s="45">
        <v>0.08</v>
      </c>
    </row>
    <row r="240" spans="1:8" x14ac:dyDescent="0.35">
      <c r="A240" s="45">
        <v>516</v>
      </c>
      <c r="B240" s="45">
        <v>3</v>
      </c>
      <c r="C240" s="45" t="s">
        <v>20</v>
      </c>
      <c r="D240" s="45">
        <v>4.7</v>
      </c>
      <c r="E240" s="45">
        <v>587</v>
      </c>
      <c r="F240" s="45">
        <v>20</v>
      </c>
      <c r="G240" s="45">
        <v>2.17</v>
      </c>
      <c r="H240" s="45">
        <v>0.08</v>
      </c>
    </row>
    <row r="241" spans="1:8" x14ac:dyDescent="0.35">
      <c r="A241" s="45">
        <v>515</v>
      </c>
      <c r="B241" s="45">
        <v>7</v>
      </c>
      <c r="C241" s="45" t="s">
        <v>17</v>
      </c>
      <c r="D241" s="45">
        <v>2.8</v>
      </c>
      <c r="E241" s="45">
        <v>587</v>
      </c>
      <c r="F241" s="45">
        <v>20</v>
      </c>
      <c r="G241" s="45">
        <v>2.17</v>
      </c>
      <c r="H241" s="45">
        <v>0.08</v>
      </c>
    </row>
    <row r="242" spans="1:8" x14ac:dyDescent="0.35">
      <c r="A242" s="45">
        <v>514</v>
      </c>
      <c r="B242" s="45">
        <v>11</v>
      </c>
      <c r="C242" s="45" t="s">
        <v>23</v>
      </c>
      <c r="D242" s="45">
        <v>22.2</v>
      </c>
      <c r="E242" s="45">
        <v>587</v>
      </c>
      <c r="F242" s="45">
        <v>20</v>
      </c>
      <c r="G242" s="45">
        <v>2.17</v>
      </c>
      <c r="H242" s="45">
        <v>0.08</v>
      </c>
    </row>
    <row r="243" spans="1:8" x14ac:dyDescent="0.35">
      <c r="A243" s="45">
        <v>513</v>
      </c>
      <c r="B243" s="45">
        <v>11</v>
      </c>
      <c r="C243" s="45" t="s">
        <v>23</v>
      </c>
      <c r="D243" s="45">
        <v>15.9</v>
      </c>
      <c r="E243" s="45">
        <v>586</v>
      </c>
      <c r="F243" s="45">
        <v>20</v>
      </c>
      <c r="G243" s="45">
        <v>2.33</v>
      </c>
      <c r="H243" s="45">
        <v>0.08</v>
      </c>
    </row>
    <row r="244" spans="1:8" x14ac:dyDescent="0.35">
      <c r="A244" s="45">
        <v>512</v>
      </c>
      <c r="B244" s="45">
        <v>3</v>
      </c>
      <c r="C244" s="45" t="s">
        <v>20</v>
      </c>
      <c r="D244" s="45">
        <v>1.1000000000000001</v>
      </c>
      <c r="E244" s="45">
        <v>586</v>
      </c>
      <c r="F244" s="45">
        <v>20</v>
      </c>
      <c r="G244" s="45">
        <v>2.33</v>
      </c>
      <c r="H244" s="45">
        <v>0.08</v>
      </c>
    </row>
    <row r="245" spans="1:8" x14ac:dyDescent="0.35">
      <c r="A245" s="45">
        <v>511</v>
      </c>
      <c r="B245" s="45">
        <v>5</v>
      </c>
      <c r="C245" s="45" t="s">
        <v>35</v>
      </c>
      <c r="D245" s="45">
        <v>1.1000000000000001</v>
      </c>
      <c r="E245" s="45">
        <v>589</v>
      </c>
      <c r="F245" s="45">
        <v>20</v>
      </c>
      <c r="G245" s="45">
        <v>1.83</v>
      </c>
      <c r="H245" s="45">
        <v>0.08</v>
      </c>
    </row>
    <row r="246" spans="1:8" x14ac:dyDescent="0.35">
      <c r="A246" s="45">
        <v>510</v>
      </c>
      <c r="B246" s="45">
        <v>9</v>
      </c>
      <c r="C246" s="45" t="s">
        <v>44</v>
      </c>
      <c r="D246" s="45">
        <v>1</v>
      </c>
      <c r="E246" s="45">
        <v>587</v>
      </c>
      <c r="F246" s="45">
        <v>20</v>
      </c>
      <c r="G246" s="45">
        <v>2.17</v>
      </c>
      <c r="H246" s="45">
        <v>0.08</v>
      </c>
    </row>
    <row r="247" spans="1:8" x14ac:dyDescent="0.35">
      <c r="A247" s="45">
        <v>509</v>
      </c>
      <c r="B247" s="45">
        <v>2</v>
      </c>
      <c r="C247" s="45" t="s">
        <v>74</v>
      </c>
      <c r="D247" s="45">
        <v>1.3</v>
      </c>
      <c r="E247" s="45">
        <v>586</v>
      </c>
      <c r="F247" s="45">
        <v>20</v>
      </c>
      <c r="G247" s="45">
        <v>2.33</v>
      </c>
      <c r="H247" s="45">
        <v>0.08</v>
      </c>
    </row>
    <row r="248" spans="1:8" x14ac:dyDescent="0.35">
      <c r="A248" s="45">
        <v>508</v>
      </c>
      <c r="B248" s="45">
        <v>6</v>
      </c>
      <c r="C248" s="45" t="s">
        <v>14</v>
      </c>
      <c r="D248" s="45">
        <v>1.2</v>
      </c>
      <c r="E248" s="45">
        <v>586</v>
      </c>
      <c r="F248" s="45">
        <v>20</v>
      </c>
      <c r="G248" s="45">
        <v>2.33</v>
      </c>
      <c r="H248" s="45">
        <v>0.08</v>
      </c>
    </row>
    <row r="249" spans="1:8" x14ac:dyDescent="0.35">
      <c r="A249" s="45">
        <v>507</v>
      </c>
      <c r="B249" s="45">
        <v>8</v>
      </c>
      <c r="C249" s="45" t="s">
        <v>38</v>
      </c>
      <c r="D249" s="45">
        <v>2.2999999999999998</v>
      </c>
      <c r="E249" s="45">
        <v>587</v>
      </c>
      <c r="F249" s="45">
        <v>20</v>
      </c>
      <c r="G249" s="45">
        <v>2.17</v>
      </c>
      <c r="H249" s="45">
        <v>0.08</v>
      </c>
    </row>
    <row r="250" spans="1:8" x14ac:dyDescent="0.35">
      <c r="A250" s="45">
        <v>506</v>
      </c>
      <c r="B250" s="45">
        <v>7</v>
      </c>
      <c r="C250" s="45" t="s">
        <v>17</v>
      </c>
      <c r="D250" s="45">
        <v>2.8</v>
      </c>
      <c r="E250" s="45">
        <v>587</v>
      </c>
      <c r="F250" s="45">
        <v>20</v>
      </c>
      <c r="G250" s="45">
        <v>2.17</v>
      </c>
      <c r="H250" s="45">
        <v>0.08</v>
      </c>
    </row>
    <row r="251" spans="1:8" x14ac:dyDescent="0.35">
      <c r="A251" s="45">
        <v>505</v>
      </c>
      <c r="B251" s="45">
        <v>3</v>
      </c>
      <c r="C251" s="45" t="s">
        <v>20</v>
      </c>
      <c r="D251" s="45">
        <v>1.1000000000000001</v>
      </c>
      <c r="E251" s="45">
        <v>587</v>
      </c>
      <c r="F251" s="45">
        <v>20</v>
      </c>
      <c r="G251" s="45">
        <v>2.17</v>
      </c>
      <c r="H251" s="45">
        <v>0.08</v>
      </c>
    </row>
    <row r="252" spans="1:8" x14ac:dyDescent="0.35">
      <c r="A252" s="45">
        <v>504</v>
      </c>
      <c r="B252" s="45">
        <v>11</v>
      </c>
      <c r="C252" s="45" t="s">
        <v>23</v>
      </c>
      <c r="D252" s="45">
        <v>15.8</v>
      </c>
      <c r="E252" s="45">
        <v>586</v>
      </c>
      <c r="F252" s="45">
        <v>20</v>
      </c>
      <c r="G252" s="45">
        <v>2.33</v>
      </c>
      <c r="H252" s="45">
        <v>0.08</v>
      </c>
    </row>
    <row r="253" spans="1:8" x14ac:dyDescent="0.35">
      <c r="A253" s="45">
        <v>503</v>
      </c>
      <c r="B253" s="45">
        <v>4</v>
      </c>
      <c r="C253" s="45" t="s">
        <v>28</v>
      </c>
      <c r="D253" s="45">
        <v>2.2999999999999998</v>
      </c>
      <c r="E253" s="45">
        <v>585</v>
      </c>
      <c r="F253" s="45">
        <v>20</v>
      </c>
      <c r="G253" s="45">
        <v>2.5</v>
      </c>
      <c r="H253" s="45">
        <v>0.08</v>
      </c>
    </row>
    <row r="254" spans="1:8" x14ac:dyDescent="0.35">
      <c r="A254" s="45">
        <v>502</v>
      </c>
      <c r="B254" s="45">
        <v>1</v>
      </c>
      <c r="C254" s="45" t="s">
        <v>41</v>
      </c>
      <c r="D254" s="45">
        <v>3</v>
      </c>
      <c r="E254" s="45">
        <v>587</v>
      </c>
      <c r="F254" s="45">
        <v>20</v>
      </c>
      <c r="G254" s="45">
        <v>2.17</v>
      </c>
      <c r="H254" s="45">
        <v>0.08</v>
      </c>
    </row>
    <row r="255" spans="1:8" x14ac:dyDescent="0.35">
      <c r="A255" s="45">
        <v>501</v>
      </c>
      <c r="B255" s="45">
        <v>12</v>
      </c>
      <c r="C255" s="45" t="s">
        <v>59</v>
      </c>
      <c r="D255" s="45">
        <v>0</v>
      </c>
      <c r="E255" s="45">
        <v>585</v>
      </c>
      <c r="F255" s="45">
        <v>20</v>
      </c>
      <c r="G255" s="45">
        <v>2.5</v>
      </c>
      <c r="H255" s="45">
        <v>0.08</v>
      </c>
    </row>
    <row r="256" spans="1:8" x14ac:dyDescent="0.35">
      <c r="A256" s="44" t="s">
        <v>1626</v>
      </c>
      <c r="B256" s="44" t="s">
        <v>1627</v>
      </c>
      <c r="C256" s="44" t="s">
        <v>4</v>
      </c>
      <c r="D256" s="44" t="s">
        <v>5</v>
      </c>
      <c r="E256" s="44" t="s">
        <v>6</v>
      </c>
      <c r="F256" s="44" t="s">
        <v>1629</v>
      </c>
      <c r="G256" s="44" t="s">
        <v>1628</v>
      </c>
      <c r="H256" s="44" t="s">
        <v>10</v>
      </c>
    </row>
    <row r="257" spans="1:8" x14ac:dyDescent="0.35">
      <c r="A257" s="45">
        <v>500</v>
      </c>
      <c r="B257" s="45">
        <v>8</v>
      </c>
      <c r="C257" s="45" t="s">
        <v>38</v>
      </c>
      <c r="D257" s="45">
        <v>2.1</v>
      </c>
      <c r="E257" s="45">
        <v>1192</v>
      </c>
      <c r="F257" s="45">
        <v>40</v>
      </c>
      <c r="G257" s="45">
        <v>0.67</v>
      </c>
      <c r="H257" s="45">
        <v>0.16200000000000001</v>
      </c>
    </row>
    <row r="258" spans="1:8" x14ac:dyDescent="0.35">
      <c r="A258" s="45">
        <v>499</v>
      </c>
      <c r="B258" s="45">
        <v>11</v>
      </c>
      <c r="C258" s="45" t="s">
        <v>23</v>
      </c>
      <c r="D258" s="45">
        <v>40.700000000000003</v>
      </c>
      <c r="E258" s="45">
        <v>1190</v>
      </c>
      <c r="F258" s="45">
        <v>40</v>
      </c>
      <c r="G258" s="45">
        <v>0.83</v>
      </c>
      <c r="H258" s="45">
        <v>0.16200000000000001</v>
      </c>
    </row>
    <row r="259" spans="1:8" x14ac:dyDescent="0.35">
      <c r="A259" s="45">
        <v>498</v>
      </c>
      <c r="B259" s="45">
        <v>4</v>
      </c>
      <c r="C259" s="45" t="s">
        <v>28</v>
      </c>
      <c r="D259" s="45">
        <v>2.2999999999999998</v>
      </c>
      <c r="E259" s="45">
        <v>1190</v>
      </c>
      <c r="F259" s="45">
        <v>40</v>
      </c>
      <c r="G259" s="45">
        <v>0.83</v>
      </c>
      <c r="H259" s="45">
        <v>0.16200000000000001</v>
      </c>
    </row>
    <row r="260" spans="1:8" x14ac:dyDescent="0.35">
      <c r="A260" s="45">
        <v>497</v>
      </c>
      <c r="B260" s="45">
        <v>7</v>
      </c>
      <c r="C260" s="45" t="s">
        <v>17</v>
      </c>
      <c r="D260" s="45">
        <v>2.7</v>
      </c>
      <c r="E260" s="45">
        <v>1192</v>
      </c>
      <c r="F260" s="45">
        <v>40</v>
      </c>
      <c r="G260" s="45">
        <v>0.67</v>
      </c>
      <c r="H260" s="45">
        <v>0.16200000000000001</v>
      </c>
    </row>
    <row r="261" spans="1:8" x14ac:dyDescent="0.35">
      <c r="A261" s="45">
        <v>496</v>
      </c>
      <c r="B261" s="45">
        <v>11</v>
      </c>
      <c r="C261" s="45" t="s">
        <v>23</v>
      </c>
      <c r="D261" s="45">
        <v>18.100000000000001</v>
      </c>
      <c r="E261" s="45">
        <v>1190</v>
      </c>
      <c r="F261" s="45">
        <v>40</v>
      </c>
      <c r="G261" s="45">
        <v>0.83</v>
      </c>
      <c r="H261" s="45">
        <v>0.16200000000000001</v>
      </c>
    </row>
    <row r="262" spans="1:8" x14ac:dyDescent="0.35">
      <c r="A262" s="45">
        <v>495</v>
      </c>
      <c r="B262" s="45">
        <v>2</v>
      </c>
      <c r="C262" s="45" t="s">
        <v>74</v>
      </c>
      <c r="D262" s="45">
        <v>1.4</v>
      </c>
      <c r="E262" s="45">
        <v>1191</v>
      </c>
      <c r="F262" s="45">
        <v>40</v>
      </c>
      <c r="G262" s="45">
        <v>0.75</v>
      </c>
      <c r="H262" s="45">
        <v>0.16200000000000001</v>
      </c>
    </row>
    <row r="263" spans="1:8" x14ac:dyDescent="0.35">
      <c r="A263" s="45">
        <v>494</v>
      </c>
      <c r="B263" s="45">
        <v>6</v>
      </c>
      <c r="C263" s="45" t="s">
        <v>14</v>
      </c>
      <c r="D263" s="45">
        <v>1.2</v>
      </c>
      <c r="E263" s="45">
        <v>1193</v>
      </c>
      <c r="F263" s="45">
        <v>40</v>
      </c>
      <c r="G263" s="45">
        <v>0.57999999999999996</v>
      </c>
      <c r="H263" s="45">
        <v>0.16200000000000001</v>
      </c>
    </row>
    <row r="264" spans="1:8" x14ac:dyDescent="0.35">
      <c r="A264" s="45">
        <v>493</v>
      </c>
      <c r="B264" s="45">
        <v>12</v>
      </c>
      <c r="C264" s="45" t="s">
        <v>59</v>
      </c>
      <c r="D264" s="45">
        <v>0</v>
      </c>
      <c r="E264" s="45">
        <v>1189</v>
      </c>
      <c r="F264" s="45">
        <v>40</v>
      </c>
      <c r="G264" s="45">
        <v>0.92</v>
      </c>
      <c r="H264" s="45">
        <v>0.16200000000000001</v>
      </c>
    </row>
    <row r="265" spans="1:8" x14ac:dyDescent="0.35">
      <c r="A265" s="45">
        <v>492</v>
      </c>
      <c r="B265" s="45">
        <v>11</v>
      </c>
      <c r="C265" s="45" t="s">
        <v>23</v>
      </c>
      <c r="D265" s="45">
        <v>13.3</v>
      </c>
      <c r="E265" s="45">
        <v>1192</v>
      </c>
      <c r="F265" s="45">
        <v>40</v>
      </c>
      <c r="G265" s="45">
        <v>0.67</v>
      </c>
      <c r="H265" s="45">
        <v>0.16200000000000001</v>
      </c>
    </row>
    <row r="266" spans="1:8" x14ac:dyDescent="0.35">
      <c r="A266" s="45">
        <v>491</v>
      </c>
      <c r="B266" s="45">
        <v>8</v>
      </c>
      <c r="C266" s="45" t="s">
        <v>38</v>
      </c>
      <c r="D266" s="45">
        <v>1.9</v>
      </c>
      <c r="E266" s="45">
        <v>1191</v>
      </c>
      <c r="F266" s="45">
        <v>40</v>
      </c>
      <c r="G266" s="45">
        <v>0.75</v>
      </c>
      <c r="H266" s="45">
        <v>0.16200000000000001</v>
      </c>
    </row>
    <row r="267" spans="1:8" x14ac:dyDescent="0.35">
      <c r="A267" s="45">
        <v>490</v>
      </c>
      <c r="B267" s="45">
        <v>11</v>
      </c>
      <c r="C267" s="45" t="s">
        <v>23</v>
      </c>
      <c r="D267" s="45">
        <v>18.899999999999999</v>
      </c>
      <c r="E267" s="45">
        <v>1194</v>
      </c>
      <c r="F267" s="45">
        <v>40</v>
      </c>
      <c r="G267" s="45">
        <v>0.5</v>
      </c>
      <c r="H267" s="45">
        <v>0.16200000000000001</v>
      </c>
    </row>
    <row r="268" spans="1:8" x14ac:dyDescent="0.35">
      <c r="A268" s="45">
        <v>489</v>
      </c>
      <c r="B268" s="45">
        <v>11</v>
      </c>
      <c r="C268" s="45" t="s">
        <v>23</v>
      </c>
      <c r="D268" s="45">
        <v>19.5</v>
      </c>
      <c r="E268" s="45">
        <v>1189</v>
      </c>
      <c r="F268" s="45">
        <v>40</v>
      </c>
      <c r="G268" s="45">
        <v>0.92</v>
      </c>
      <c r="H268" s="45">
        <v>0.16200000000000001</v>
      </c>
    </row>
    <row r="269" spans="1:8" x14ac:dyDescent="0.35">
      <c r="A269" s="45">
        <v>488</v>
      </c>
      <c r="B269" s="45">
        <v>11</v>
      </c>
      <c r="C269" s="45" t="s">
        <v>23</v>
      </c>
      <c r="D269" s="45">
        <v>14.6</v>
      </c>
      <c r="E269" s="45">
        <v>1191</v>
      </c>
      <c r="F269" s="45">
        <v>40</v>
      </c>
      <c r="G269" s="45">
        <v>0.75</v>
      </c>
      <c r="H269" s="45">
        <v>0.16200000000000001</v>
      </c>
    </row>
    <row r="270" spans="1:8" x14ac:dyDescent="0.35">
      <c r="A270" s="45">
        <v>487</v>
      </c>
      <c r="B270" s="45">
        <v>9</v>
      </c>
      <c r="C270" s="45" t="s">
        <v>44</v>
      </c>
      <c r="D270" s="45">
        <v>1.2</v>
      </c>
      <c r="E270" s="45">
        <v>1192</v>
      </c>
      <c r="F270" s="45">
        <v>40</v>
      </c>
      <c r="G270" s="45">
        <v>0.67</v>
      </c>
      <c r="H270" s="45">
        <v>0.16200000000000001</v>
      </c>
    </row>
    <row r="271" spans="1:8" x14ac:dyDescent="0.35">
      <c r="A271" s="45">
        <v>486</v>
      </c>
      <c r="B271" s="45">
        <v>11</v>
      </c>
      <c r="C271" s="45" t="s">
        <v>23</v>
      </c>
      <c r="D271" s="45">
        <v>18.5</v>
      </c>
      <c r="E271" s="45">
        <v>1192</v>
      </c>
      <c r="F271" s="45">
        <v>40</v>
      </c>
      <c r="G271" s="45">
        <v>0.67</v>
      </c>
      <c r="H271" s="45">
        <v>0.16200000000000001</v>
      </c>
    </row>
    <row r="272" spans="1:8" x14ac:dyDescent="0.35">
      <c r="A272" s="45">
        <v>485</v>
      </c>
      <c r="B272" s="45">
        <v>3</v>
      </c>
      <c r="C272" s="45" t="s">
        <v>20</v>
      </c>
      <c r="D272" s="45">
        <v>1</v>
      </c>
      <c r="E272" s="45">
        <v>1191</v>
      </c>
      <c r="F272" s="45">
        <v>40</v>
      </c>
      <c r="G272" s="45">
        <v>0.75</v>
      </c>
      <c r="H272" s="45">
        <v>0.16200000000000001</v>
      </c>
    </row>
    <row r="273" spans="1:8" x14ac:dyDescent="0.35">
      <c r="A273" s="45">
        <v>484</v>
      </c>
      <c r="B273" s="45">
        <v>2</v>
      </c>
      <c r="C273" s="45" t="s">
        <v>74</v>
      </c>
      <c r="D273" s="45">
        <v>1.1000000000000001</v>
      </c>
      <c r="E273" s="45">
        <v>1192</v>
      </c>
      <c r="F273" s="45">
        <v>40</v>
      </c>
      <c r="G273" s="45">
        <v>0.67</v>
      </c>
      <c r="H273" s="45">
        <v>0.16200000000000001</v>
      </c>
    </row>
    <row r="274" spans="1:8" x14ac:dyDescent="0.35">
      <c r="A274" s="45">
        <v>483</v>
      </c>
      <c r="B274" s="45">
        <v>11</v>
      </c>
      <c r="C274" s="45" t="s">
        <v>23</v>
      </c>
      <c r="D274" s="45">
        <v>19.600000000000001</v>
      </c>
      <c r="E274" s="45">
        <v>1191</v>
      </c>
      <c r="F274" s="45">
        <v>40</v>
      </c>
      <c r="G274" s="45">
        <v>0.75</v>
      </c>
      <c r="H274" s="45">
        <v>0.16200000000000001</v>
      </c>
    </row>
    <row r="275" spans="1:8" x14ac:dyDescent="0.35">
      <c r="A275" s="45">
        <v>482</v>
      </c>
      <c r="B275" s="45">
        <v>11</v>
      </c>
      <c r="C275" s="45" t="s">
        <v>23</v>
      </c>
      <c r="D275" s="45">
        <v>14.8</v>
      </c>
      <c r="E275" s="45">
        <v>1190</v>
      </c>
      <c r="F275" s="45">
        <v>40</v>
      </c>
      <c r="G275" s="45">
        <v>0.83</v>
      </c>
      <c r="H275" s="45">
        <v>0.16200000000000001</v>
      </c>
    </row>
    <row r="276" spans="1:8" x14ac:dyDescent="0.35">
      <c r="A276" s="45">
        <v>481</v>
      </c>
      <c r="B276" s="45">
        <v>12</v>
      </c>
      <c r="C276" s="45" t="s">
        <v>59</v>
      </c>
      <c r="D276" s="45">
        <v>0</v>
      </c>
      <c r="E276" s="45">
        <v>1192</v>
      </c>
      <c r="F276" s="45">
        <v>40</v>
      </c>
      <c r="G276" s="45">
        <v>0.67</v>
      </c>
      <c r="H276" s="45">
        <v>0.16200000000000001</v>
      </c>
    </row>
    <row r="277" spans="1:8" x14ac:dyDescent="0.35">
      <c r="A277" s="45">
        <v>480</v>
      </c>
      <c r="B277" s="45">
        <v>2</v>
      </c>
      <c r="C277" s="45" t="s">
        <v>74</v>
      </c>
      <c r="D277" s="45">
        <v>1.2</v>
      </c>
      <c r="E277" s="45">
        <v>1192</v>
      </c>
      <c r="F277" s="45">
        <v>40</v>
      </c>
      <c r="G277" s="45">
        <v>0.67</v>
      </c>
      <c r="H277" s="45">
        <v>0.16200000000000001</v>
      </c>
    </row>
    <row r="278" spans="1:8" x14ac:dyDescent="0.35">
      <c r="A278" s="45">
        <v>479</v>
      </c>
      <c r="B278" s="45">
        <v>4</v>
      </c>
      <c r="C278" s="45" t="s">
        <v>28</v>
      </c>
      <c r="D278" s="45">
        <v>2.2000000000000002</v>
      </c>
      <c r="E278" s="45">
        <v>1191</v>
      </c>
      <c r="F278" s="45">
        <v>40</v>
      </c>
      <c r="G278" s="45">
        <v>0.75</v>
      </c>
      <c r="H278" s="45">
        <v>0.16200000000000001</v>
      </c>
    </row>
    <row r="279" spans="1:8" x14ac:dyDescent="0.35">
      <c r="A279" s="45">
        <v>478</v>
      </c>
      <c r="B279" s="45">
        <v>3</v>
      </c>
      <c r="C279" s="45" t="s">
        <v>20</v>
      </c>
      <c r="D279" s="45">
        <v>1.3</v>
      </c>
      <c r="E279" s="45">
        <v>1191</v>
      </c>
      <c r="F279" s="45">
        <v>40</v>
      </c>
      <c r="G279" s="45">
        <v>0.75</v>
      </c>
      <c r="H279" s="45">
        <v>0.16200000000000001</v>
      </c>
    </row>
    <row r="280" spans="1:8" x14ac:dyDescent="0.35">
      <c r="A280" s="45">
        <v>477</v>
      </c>
      <c r="B280" s="45">
        <v>7</v>
      </c>
      <c r="C280" s="45" t="s">
        <v>17</v>
      </c>
      <c r="D280" s="45">
        <v>2.7</v>
      </c>
      <c r="E280" s="45">
        <v>1191</v>
      </c>
      <c r="F280" s="45">
        <v>40</v>
      </c>
      <c r="G280" s="45">
        <v>0.75</v>
      </c>
      <c r="H280" s="45">
        <v>0.16200000000000001</v>
      </c>
    </row>
    <row r="281" spans="1:8" x14ac:dyDescent="0.35">
      <c r="A281" s="45">
        <v>476</v>
      </c>
      <c r="B281" s="45">
        <v>12</v>
      </c>
      <c r="C281" s="45" t="s">
        <v>59</v>
      </c>
      <c r="D281" s="45">
        <v>0</v>
      </c>
      <c r="E281" s="45">
        <v>1190</v>
      </c>
      <c r="F281" s="45">
        <v>40</v>
      </c>
      <c r="G281" s="45">
        <v>0.83</v>
      </c>
      <c r="H281" s="45">
        <v>0.16200000000000001</v>
      </c>
    </row>
    <row r="282" spans="1:8" x14ac:dyDescent="0.35">
      <c r="A282" s="45">
        <v>475</v>
      </c>
      <c r="B282" s="45">
        <v>5</v>
      </c>
      <c r="C282" s="45" t="s">
        <v>35</v>
      </c>
      <c r="D282" s="45">
        <v>1</v>
      </c>
      <c r="E282" s="45">
        <v>1191</v>
      </c>
      <c r="F282" s="45">
        <v>40</v>
      </c>
      <c r="G282" s="45">
        <v>0.75</v>
      </c>
      <c r="H282" s="45">
        <v>0.16200000000000001</v>
      </c>
    </row>
    <row r="283" spans="1:8" x14ac:dyDescent="0.35">
      <c r="A283" s="45">
        <v>474</v>
      </c>
      <c r="B283" s="45">
        <v>11</v>
      </c>
      <c r="C283" s="45" t="s">
        <v>23</v>
      </c>
      <c r="D283" s="45">
        <v>13.6</v>
      </c>
      <c r="E283" s="45">
        <v>1190</v>
      </c>
      <c r="F283" s="45">
        <v>40</v>
      </c>
      <c r="G283" s="45">
        <v>0.83</v>
      </c>
      <c r="H283" s="45">
        <v>0.16200000000000001</v>
      </c>
    </row>
    <row r="284" spans="1:8" x14ac:dyDescent="0.35">
      <c r="A284" s="45">
        <v>473</v>
      </c>
      <c r="B284" s="45">
        <v>11</v>
      </c>
      <c r="C284" s="45" t="s">
        <v>23</v>
      </c>
      <c r="D284" s="45">
        <v>21</v>
      </c>
      <c r="E284" s="45">
        <v>1192</v>
      </c>
      <c r="F284" s="45">
        <v>40</v>
      </c>
      <c r="G284" s="45">
        <v>0.67</v>
      </c>
      <c r="H284" s="45">
        <v>0.16200000000000001</v>
      </c>
    </row>
    <row r="285" spans="1:8" x14ac:dyDescent="0.35">
      <c r="A285" s="45">
        <v>472</v>
      </c>
      <c r="B285" s="45">
        <v>1</v>
      </c>
      <c r="C285" s="45" t="s">
        <v>41</v>
      </c>
      <c r="D285" s="45">
        <v>2.9</v>
      </c>
      <c r="E285" s="45">
        <v>1189</v>
      </c>
      <c r="F285" s="45">
        <v>40</v>
      </c>
      <c r="G285" s="45">
        <v>0.92</v>
      </c>
      <c r="H285" s="45">
        <v>0.16200000000000001</v>
      </c>
    </row>
    <row r="286" spans="1:8" x14ac:dyDescent="0.35">
      <c r="A286" s="45">
        <v>471</v>
      </c>
      <c r="B286" s="45">
        <v>6</v>
      </c>
      <c r="C286" s="45" t="s">
        <v>14</v>
      </c>
      <c r="D286" s="45">
        <v>1.3</v>
      </c>
      <c r="E286" s="45">
        <v>1189</v>
      </c>
      <c r="F286" s="45">
        <v>40</v>
      </c>
      <c r="G286" s="45">
        <v>0.92</v>
      </c>
      <c r="H286" s="45">
        <v>0.16200000000000001</v>
      </c>
    </row>
    <row r="287" spans="1:8" x14ac:dyDescent="0.35">
      <c r="A287" s="45">
        <v>470</v>
      </c>
      <c r="B287" s="45">
        <v>11</v>
      </c>
      <c r="C287" s="45" t="s">
        <v>23</v>
      </c>
      <c r="D287" s="45">
        <v>18.7</v>
      </c>
      <c r="E287" s="45">
        <v>1191</v>
      </c>
      <c r="F287" s="45">
        <v>40</v>
      </c>
      <c r="G287" s="45">
        <v>0.75</v>
      </c>
      <c r="H287" s="45">
        <v>0.16200000000000001</v>
      </c>
    </row>
    <row r="288" spans="1:8" x14ac:dyDescent="0.35">
      <c r="A288" s="45">
        <v>469</v>
      </c>
      <c r="B288" s="45">
        <v>4</v>
      </c>
      <c r="C288" s="45" t="s">
        <v>28</v>
      </c>
      <c r="D288" s="45">
        <v>2.2999999999999998</v>
      </c>
      <c r="E288" s="45">
        <v>1187</v>
      </c>
      <c r="F288" s="45">
        <v>40</v>
      </c>
      <c r="G288" s="45">
        <v>1.08</v>
      </c>
      <c r="H288" s="45">
        <v>0.161</v>
      </c>
    </row>
    <row r="289" spans="1:8" x14ac:dyDescent="0.35">
      <c r="A289" s="45">
        <v>468</v>
      </c>
      <c r="B289" s="45">
        <v>7</v>
      </c>
      <c r="C289" s="45" t="s">
        <v>17</v>
      </c>
      <c r="D289" s="45">
        <v>2.8</v>
      </c>
      <c r="E289" s="45">
        <v>1190</v>
      </c>
      <c r="F289" s="45">
        <v>40</v>
      </c>
      <c r="G289" s="45">
        <v>0.83</v>
      </c>
      <c r="H289" s="45">
        <v>0.16200000000000001</v>
      </c>
    </row>
    <row r="290" spans="1:8" x14ac:dyDescent="0.35">
      <c r="A290" s="45">
        <v>467</v>
      </c>
      <c r="B290" s="45">
        <v>11</v>
      </c>
      <c r="C290" s="45" t="s">
        <v>23</v>
      </c>
      <c r="D290" s="45">
        <v>44.4</v>
      </c>
      <c r="E290" s="45">
        <v>1190</v>
      </c>
      <c r="F290" s="45">
        <v>40</v>
      </c>
      <c r="G290" s="45">
        <v>0.83</v>
      </c>
      <c r="H290" s="45">
        <v>0.16200000000000001</v>
      </c>
    </row>
    <row r="291" spans="1:8" x14ac:dyDescent="0.35">
      <c r="A291" s="45">
        <v>466</v>
      </c>
      <c r="B291" s="45">
        <v>8</v>
      </c>
      <c r="C291" s="45" t="s">
        <v>38</v>
      </c>
      <c r="D291" s="45">
        <v>2.1</v>
      </c>
      <c r="E291" s="45">
        <v>1191</v>
      </c>
      <c r="F291" s="45">
        <v>40</v>
      </c>
      <c r="G291" s="45">
        <v>0.75</v>
      </c>
      <c r="H291" s="45">
        <v>0.16200000000000001</v>
      </c>
    </row>
    <row r="292" spans="1:8" x14ac:dyDescent="0.35">
      <c r="A292" s="45">
        <v>465</v>
      </c>
      <c r="B292" s="45">
        <v>11</v>
      </c>
      <c r="C292" s="45" t="s">
        <v>23</v>
      </c>
      <c r="D292" s="45">
        <v>19.5</v>
      </c>
      <c r="E292" s="45">
        <v>1191</v>
      </c>
      <c r="F292" s="45">
        <v>40</v>
      </c>
      <c r="G292" s="45">
        <v>0.75</v>
      </c>
      <c r="H292" s="45">
        <v>0.16200000000000001</v>
      </c>
    </row>
    <row r="293" spans="1:8" x14ac:dyDescent="0.35">
      <c r="A293" s="45">
        <v>464</v>
      </c>
      <c r="B293" s="45">
        <v>11</v>
      </c>
      <c r="C293" s="45" t="s">
        <v>23</v>
      </c>
      <c r="D293" s="45">
        <v>14.7</v>
      </c>
      <c r="E293" s="45">
        <v>1192</v>
      </c>
      <c r="F293" s="45">
        <v>40</v>
      </c>
      <c r="G293" s="45">
        <v>0.67</v>
      </c>
      <c r="H293" s="45">
        <v>0.16200000000000001</v>
      </c>
    </row>
    <row r="294" spans="1:8" x14ac:dyDescent="0.35">
      <c r="A294" s="45">
        <v>463</v>
      </c>
      <c r="B294" s="45">
        <v>2</v>
      </c>
      <c r="C294" s="45" t="s">
        <v>74</v>
      </c>
      <c r="D294" s="45">
        <v>1.3</v>
      </c>
      <c r="E294" s="45">
        <v>1190</v>
      </c>
      <c r="F294" s="45">
        <v>40</v>
      </c>
      <c r="G294" s="45">
        <v>0.83</v>
      </c>
      <c r="H294" s="45">
        <v>0.16200000000000001</v>
      </c>
    </row>
    <row r="295" spans="1:8" x14ac:dyDescent="0.35">
      <c r="A295" s="45">
        <v>462</v>
      </c>
      <c r="B295" s="45">
        <v>1</v>
      </c>
      <c r="C295" s="45" t="s">
        <v>41</v>
      </c>
      <c r="D295" s="45">
        <v>2.9</v>
      </c>
      <c r="E295" s="45">
        <v>1191</v>
      </c>
      <c r="F295" s="45">
        <v>40</v>
      </c>
      <c r="G295" s="45">
        <v>0.75</v>
      </c>
      <c r="H295" s="45">
        <v>0.16200000000000001</v>
      </c>
    </row>
    <row r="296" spans="1:8" x14ac:dyDescent="0.35">
      <c r="A296" s="45">
        <v>461</v>
      </c>
      <c r="B296" s="45">
        <v>6</v>
      </c>
      <c r="C296" s="45" t="s">
        <v>14</v>
      </c>
      <c r="D296" s="45">
        <v>1.2</v>
      </c>
      <c r="E296" s="45">
        <v>1189</v>
      </c>
      <c r="F296" s="45">
        <v>40</v>
      </c>
      <c r="G296" s="45">
        <v>0.92</v>
      </c>
      <c r="H296" s="45">
        <v>0.16200000000000001</v>
      </c>
    </row>
    <row r="297" spans="1:8" x14ac:dyDescent="0.35">
      <c r="A297" s="45">
        <v>460</v>
      </c>
      <c r="B297" s="45">
        <v>11</v>
      </c>
      <c r="C297" s="45" t="s">
        <v>23</v>
      </c>
      <c r="D297" s="45">
        <v>18.600000000000001</v>
      </c>
      <c r="E297" s="45">
        <v>1189</v>
      </c>
      <c r="F297" s="45">
        <v>40</v>
      </c>
      <c r="G297" s="45">
        <v>0.92</v>
      </c>
      <c r="H297" s="45">
        <v>0.16200000000000001</v>
      </c>
    </row>
    <row r="298" spans="1:8" x14ac:dyDescent="0.35">
      <c r="A298" s="45">
        <v>459</v>
      </c>
      <c r="B298" s="45">
        <v>11</v>
      </c>
      <c r="C298" s="45" t="s">
        <v>23</v>
      </c>
      <c r="D298" s="45">
        <v>18.600000000000001</v>
      </c>
      <c r="E298" s="45">
        <v>1191</v>
      </c>
      <c r="F298" s="45">
        <v>40</v>
      </c>
      <c r="G298" s="45">
        <v>0.75</v>
      </c>
      <c r="H298" s="45">
        <v>0.16200000000000001</v>
      </c>
    </row>
    <row r="299" spans="1:8" x14ac:dyDescent="0.35">
      <c r="A299" s="45">
        <v>458</v>
      </c>
      <c r="B299" s="45">
        <v>9</v>
      </c>
      <c r="C299" s="45" t="s">
        <v>44</v>
      </c>
      <c r="D299" s="45">
        <v>1.3</v>
      </c>
      <c r="E299" s="45">
        <v>1189</v>
      </c>
      <c r="F299" s="45">
        <v>40</v>
      </c>
      <c r="G299" s="45">
        <v>0.92</v>
      </c>
      <c r="H299" s="45">
        <v>0.16200000000000001</v>
      </c>
    </row>
    <row r="300" spans="1:8" x14ac:dyDescent="0.35">
      <c r="A300" s="45">
        <v>457</v>
      </c>
      <c r="B300" s="45">
        <v>7</v>
      </c>
      <c r="C300" s="45" t="s">
        <v>17</v>
      </c>
      <c r="D300" s="45">
        <v>2.8</v>
      </c>
      <c r="E300" s="45">
        <v>1189</v>
      </c>
      <c r="F300" s="45">
        <v>40</v>
      </c>
      <c r="G300" s="45">
        <v>0.92</v>
      </c>
      <c r="H300" s="45">
        <v>0.16200000000000001</v>
      </c>
    </row>
    <row r="301" spans="1:8" x14ac:dyDescent="0.35">
      <c r="A301" s="45">
        <v>456</v>
      </c>
      <c r="B301" s="45">
        <v>4</v>
      </c>
      <c r="C301" s="45" t="s">
        <v>28</v>
      </c>
      <c r="D301" s="45">
        <v>2.2000000000000002</v>
      </c>
      <c r="E301" s="45">
        <v>1191</v>
      </c>
      <c r="F301" s="45">
        <v>40</v>
      </c>
      <c r="G301" s="45">
        <v>0.75</v>
      </c>
      <c r="H301" s="45">
        <v>0.16200000000000001</v>
      </c>
    </row>
    <row r="302" spans="1:8" x14ac:dyDescent="0.35">
      <c r="A302" s="45">
        <v>455</v>
      </c>
      <c r="B302" s="45">
        <v>12</v>
      </c>
      <c r="C302" s="45" t="s">
        <v>59</v>
      </c>
      <c r="D302" s="45">
        <v>0</v>
      </c>
      <c r="E302" s="45">
        <v>1189</v>
      </c>
      <c r="F302" s="45">
        <v>40</v>
      </c>
      <c r="G302" s="45">
        <v>0.92</v>
      </c>
      <c r="H302" s="45">
        <v>0.16200000000000001</v>
      </c>
    </row>
    <row r="303" spans="1:8" x14ac:dyDescent="0.35">
      <c r="A303" s="45">
        <v>454</v>
      </c>
      <c r="B303" s="45">
        <v>11</v>
      </c>
      <c r="C303" s="45" t="s">
        <v>23</v>
      </c>
      <c r="D303" s="45">
        <v>13.3</v>
      </c>
      <c r="E303" s="45">
        <v>1192</v>
      </c>
      <c r="F303" s="45">
        <v>40</v>
      </c>
      <c r="G303" s="45">
        <v>0.67</v>
      </c>
      <c r="H303" s="45">
        <v>0.16200000000000001</v>
      </c>
    </row>
    <row r="304" spans="1:8" x14ac:dyDescent="0.35">
      <c r="A304" s="45">
        <v>453</v>
      </c>
      <c r="B304" s="45">
        <v>9</v>
      </c>
      <c r="C304" s="45" t="s">
        <v>44</v>
      </c>
      <c r="D304" s="45">
        <v>1.5</v>
      </c>
      <c r="E304" s="45">
        <v>1191</v>
      </c>
      <c r="F304" s="45">
        <v>40</v>
      </c>
      <c r="G304" s="45">
        <v>0.75</v>
      </c>
      <c r="H304" s="45">
        <v>0.16200000000000001</v>
      </c>
    </row>
    <row r="305" spans="1:8" x14ac:dyDescent="0.35">
      <c r="A305" s="45">
        <v>452</v>
      </c>
      <c r="B305" s="45">
        <v>3</v>
      </c>
      <c r="C305" s="45" t="s">
        <v>20</v>
      </c>
      <c r="D305" s="45">
        <v>1.1000000000000001</v>
      </c>
      <c r="E305" s="45">
        <v>1191</v>
      </c>
      <c r="F305" s="45">
        <v>40</v>
      </c>
      <c r="G305" s="45">
        <v>0.75</v>
      </c>
      <c r="H305" s="45">
        <v>0.16200000000000001</v>
      </c>
    </row>
    <row r="306" spans="1:8" x14ac:dyDescent="0.35">
      <c r="A306" s="45">
        <v>451</v>
      </c>
      <c r="B306" s="45">
        <v>12</v>
      </c>
      <c r="C306" s="45" t="s">
        <v>59</v>
      </c>
      <c r="D306" s="45">
        <v>0</v>
      </c>
      <c r="E306" s="45">
        <v>1187</v>
      </c>
      <c r="F306" s="45">
        <v>40</v>
      </c>
      <c r="G306" s="45">
        <v>1.08</v>
      </c>
      <c r="H306" s="45">
        <v>0.161</v>
      </c>
    </row>
    <row r="307" spans="1:8" x14ac:dyDescent="0.35">
      <c r="A307" s="44" t="s">
        <v>1626</v>
      </c>
      <c r="B307" s="44" t="s">
        <v>1627</v>
      </c>
      <c r="C307" s="44" t="s">
        <v>4</v>
      </c>
      <c r="D307" s="44" t="s">
        <v>5</v>
      </c>
      <c r="E307" s="44" t="s">
        <v>6</v>
      </c>
      <c r="F307" s="44" t="s">
        <v>1629</v>
      </c>
      <c r="G307" s="44" t="s">
        <v>1628</v>
      </c>
      <c r="H307" s="44" t="s">
        <v>10</v>
      </c>
    </row>
    <row r="308" spans="1:8" x14ac:dyDescent="0.35">
      <c r="A308" s="45">
        <v>450</v>
      </c>
      <c r="B308" s="45">
        <v>6</v>
      </c>
      <c r="C308" s="45" t="s">
        <v>14</v>
      </c>
      <c r="D308" s="45">
        <v>1.3</v>
      </c>
      <c r="E308" s="45">
        <v>1039</v>
      </c>
      <c r="F308" s="45">
        <v>35</v>
      </c>
      <c r="G308" s="45">
        <v>1.05</v>
      </c>
      <c r="H308" s="45">
        <v>0.14099999999999999</v>
      </c>
    </row>
    <row r="309" spans="1:8" x14ac:dyDescent="0.35">
      <c r="A309" s="45">
        <v>449</v>
      </c>
      <c r="B309" s="45">
        <v>1</v>
      </c>
      <c r="C309" s="45" t="s">
        <v>41</v>
      </c>
      <c r="D309" s="45">
        <v>2.8</v>
      </c>
      <c r="E309" s="45">
        <v>1040</v>
      </c>
      <c r="F309" s="45">
        <v>35</v>
      </c>
      <c r="G309" s="45">
        <v>0.95</v>
      </c>
      <c r="H309" s="45">
        <v>0.14099999999999999</v>
      </c>
    </row>
    <row r="310" spans="1:8" x14ac:dyDescent="0.35">
      <c r="A310" s="45">
        <v>448</v>
      </c>
      <c r="B310" s="45">
        <v>11</v>
      </c>
      <c r="C310" s="45" t="s">
        <v>23</v>
      </c>
      <c r="D310" s="45">
        <v>14.2</v>
      </c>
      <c r="E310" s="45">
        <v>1042</v>
      </c>
      <c r="F310" s="45">
        <v>35</v>
      </c>
      <c r="G310" s="45">
        <v>0.76</v>
      </c>
      <c r="H310" s="45">
        <v>0.14199999999999999</v>
      </c>
    </row>
    <row r="311" spans="1:8" x14ac:dyDescent="0.35">
      <c r="A311" s="45">
        <v>447</v>
      </c>
      <c r="B311" s="45">
        <v>9</v>
      </c>
      <c r="C311" s="45" t="s">
        <v>44</v>
      </c>
      <c r="D311" s="45">
        <v>1</v>
      </c>
      <c r="E311" s="45">
        <v>1042</v>
      </c>
      <c r="F311" s="45">
        <v>35</v>
      </c>
      <c r="G311" s="45">
        <v>0.76</v>
      </c>
      <c r="H311" s="45">
        <v>0.14199999999999999</v>
      </c>
    </row>
    <row r="312" spans="1:8" x14ac:dyDescent="0.35">
      <c r="A312" s="45">
        <v>446</v>
      </c>
      <c r="B312" s="45">
        <v>2</v>
      </c>
      <c r="C312" s="45" t="s">
        <v>74</v>
      </c>
      <c r="D312" s="45">
        <v>1.3</v>
      </c>
      <c r="E312" s="45">
        <v>1041</v>
      </c>
      <c r="F312" s="45">
        <v>35</v>
      </c>
      <c r="G312" s="45">
        <v>0.86</v>
      </c>
      <c r="H312" s="45">
        <v>0.14199999999999999</v>
      </c>
    </row>
    <row r="313" spans="1:8" x14ac:dyDescent="0.35">
      <c r="A313" s="45">
        <v>445</v>
      </c>
      <c r="B313" s="45">
        <v>8</v>
      </c>
      <c r="C313" s="45" t="s">
        <v>38</v>
      </c>
      <c r="D313" s="45">
        <v>2</v>
      </c>
      <c r="E313" s="45">
        <v>1039</v>
      </c>
      <c r="F313" s="45">
        <v>35</v>
      </c>
      <c r="G313" s="45">
        <v>1.05</v>
      </c>
      <c r="H313" s="45">
        <v>0.14099999999999999</v>
      </c>
    </row>
    <row r="314" spans="1:8" x14ac:dyDescent="0.35">
      <c r="A314" s="45">
        <v>444</v>
      </c>
      <c r="B314" s="45">
        <v>6</v>
      </c>
      <c r="C314" s="45" t="s">
        <v>14</v>
      </c>
      <c r="D314" s="45">
        <v>1.4</v>
      </c>
      <c r="E314" s="45">
        <v>1039</v>
      </c>
      <c r="F314" s="45">
        <v>35</v>
      </c>
      <c r="G314" s="45">
        <v>1.05</v>
      </c>
      <c r="H314" s="45">
        <v>0.14199999999999999</v>
      </c>
    </row>
    <row r="315" spans="1:8" x14ac:dyDescent="0.35">
      <c r="A315" s="45">
        <v>443</v>
      </c>
      <c r="B315" s="45">
        <v>11</v>
      </c>
      <c r="C315" s="45" t="s">
        <v>23</v>
      </c>
      <c r="D315" s="45">
        <v>14.2</v>
      </c>
      <c r="E315" s="45">
        <v>1039</v>
      </c>
      <c r="F315" s="45">
        <v>35</v>
      </c>
      <c r="G315" s="45">
        <v>1.05</v>
      </c>
      <c r="H315" s="45">
        <v>0.14099999999999999</v>
      </c>
    </row>
    <row r="316" spans="1:8" x14ac:dyDescent="0.35">
      <c r="A316" s="45">
        <v>442</v>
      </c>
      <c r="B316" s="45">
        <v>11</v>
      </c>
      <c r="C316" s="45" t="s">
        <v>23</v>
      </c>
      <c r="D316" s="45">
        <v>12.8</v>
      </c>
      <c r="E316" s="45">
        <v>1042</v>
      </c>
      <c r="F316" s="45">
        <v>35</v>
      </c>
      <c r="G316" s="45">
        <v>0.76</v>
      </c>
      <c r="H316" s="45">
        <v>0.14199999999999999</v>
      </c>
    </row>
    <row r="317" spans="1:8" x14ac:dyDescent="0.35">
      <c r="A317" s="45">
        <v>441</v>
      </c>
      <c r="B317" s="45">
        <v>11</v>
      </c>
      <c r="C317" s="45" t="s">
        <v>23</v>
      </c>
      <c r="D317" s="45">
        <v>17.3</v>
      </c>
      <c r="E317" s="45">
        <v>1038</v>
      </c>
      <c r="F317" s="45">
        <v>35</v>
      </c>
      <c r="G317" s="45">
        <v>1.1399999999999999</v>
      </c>
      <c r="H317" s="45">
        <v>0.14099999999999999</v>
      </c>
    </row>
    <row r="318" spans="1:8" x14ac:dyDescent="0.35">
      <c r="A318" s="45">
        <v>440</v>
      </c>
      <c r="B318" s="45">
        <v>11</v>
      </c>
      <c r="C318" s="45" t="s">
        <v>23</v>
      </c>
      <c r="D318" s="45">
        <v>14.6</v>
      </c>
      <c r="E318" s="45">
        <v>1040</v>
      </c>
      <c r="F318" s="45">
        <v>35</v>
      </c>
      <c r="G318" s="45">
        <v>0.95</v>
      </c>
      <c r="H318" s="45">
        <v>0.14099999999999999</v>
      </c>
    </row>
    <row r="319" spans="1:8" x14ac:dyDescent="0.35">
      <c r="A319" s="45">
        <v>439</v>
      </c>
      <c r="B319" s="45">
        <v>2</v>
      </c>
      <c r="C319" s="45" t="s">
        <v>74</v>
      </c>
      <c r="D319" s="45">
        <v>1.2</v>
      </c>
      <c r="E319" s="45">
        <v>1041</v>
      </c>
      <c r="F319" s="45">
        <v>35</v>
      </c>
      <c r="G319" s="45">
        <v>0.86</v>
      </c>
      <c r="H319" s="45">
        <v>0.14199999999999999</v>
      </c>
    </row>
    <row r="320" spans="1:8" x14ac:dyDescent="0.35">
      <c r="A320" s="45">
        <v>438</v>
      </c>
      <c r="B320" s="45">
        <v>11</v>
      </c>
      <c r="C320" s="45" t="s">
        <v>23</v>
      </c>
      <c r="D320" s="45">
        <v>13.9</v>
      </c>
      <c r="E320" s="45">
        <v>1041</v>
      </c>
      <c r="F320" s="45">
        <v>35</v>
      </c>
      <c r="G320" s="45">
        <v>0.86</v>
      </c>
      <c r="H320" s="45">
        <v>0.14199999999999999</v>
      </c>
    </row>
    <row r="321" spans="1:8" x14ac:dyDescent="0.35">
      <c r="A321" s="45">
        <v>437</v>
      </c>
      <c r="B321" s="45">
        <v>6</v>
      </c>
      <c r="C321" s="45" t="s">
        <v>14</v>
      </c>
      <c r="D321" s="45">
        <v>1.3</v>
      </c>
      <c r="E321" s="45">
        <v>1040</v>
      </c>
      <c r="F321" s="45">
        <v>35</v>
      </c>
      <c r="G321" s="45">
        <v>0.95</v>
      </c>
      <c r="H321" s="45">
        <v>0.14099999999999999</v>
      </c>
    </row>
    <row r="322" spans="1:8" x14ac:dyDescent="0.35">
      <c r="A322" s="45">
        <v>436</v>
      </c>
      <c r="B322" s="45">
        <v>7</v>
      </c>
      <c r="C322" s="45" t="s">
        <v>17</v>
      </c>
      <c r="D322" s="45">
        <v>2.8</v>
      </c>
      <c r="E322" s="45">
        <v>1038</v>
      </c>
      <c r="F322" s="45">
        <v>35</v>
      </c>
      <c r="G322" s="45">
        <v>1.1399999999999999</v>
      </c>
      <c r="H322" s="45">
        <v>0.14099999999999999</v>
      </c>
    </row>
    <row r="323" spans="1:8" x14ac:dyDescent="0.35">
      <c r="A323" s="45">
        <v>435</v>
      </c>
      <c r="B323" s="45">
        <v>11</v>
      </c>
      <c r="C323" s="45" t="s">
        <v>23</v>
      </c>
      <c r="D323" s="45">
        <v>15.7</v>
      </c>
      <c r="E323" s="45">
        <v>1041</v>
      </c>
      <c r="F323" s="45">
        <v>35</v>
      </c>
      <c r="G323" s="45">
        <v>0.86</v>
      </c>
      <c r="H323" s="45">
        <v>0.14199999999999999</v>
      </c>
    </row>
    <row r="324" spans="1:8" x14ac:dyDescent="0.35">
      <c r="A324" s="45">
        <v>434</v>
      </c>
      <c r="B324" s="45">
        <v>9</v>
      </c>
      <c r="C324" s="45" t="s">
        <v>44</v>
      </c>
      <c r="D324" s="45">
        <v>1.3</v>
      </c>
      <c r="E324" s="45">
        <v>1038</v>
      </c>
      <c r="F324" s="45">
        <v>35</v>
      </c>
      <c r="G324" s="45">
        <v>1.1399999999999999</v>
      </c>
      <c r="H324" s="45">
        <v>0.14099999999999999</v>
      </c>
    </row>
    <row r="325" spans="1:8" x14ac:dyDescent="0.35">
      <c r="A325" s="45">
        <v>433</v>
      </c>
      <c r="B325" s="45">
        <v>2</v>
      </c>
      <c r="C325" s="45" t="s">
        <v>74</v>
      </c>
      <c r="D325" s="45">
        <v>1.2</v>
      </c>
      <c r="E325" s="45">
        <v>1042</v>
      </c>
      <c r="F325" s="45">
        <v>35</v>
      </c>
      <c r="G325" s="45">
        <v>0.76</v>
      </c>
      <c r="H325" s="45">
        <v>0.14199999999999999</v>
      </c>
    </row>
    <row r="326" spans="1:8" x14ac:dyDescent="0.35">
      <c r="A326" s="45">
        <v>432</v>
      </c>
      <c r="B326" s="45">
        <v>11</v>
      </c>
      <c r="C326" s="45" t="s">
        <v>23</v>
      </c>
      <c r="D326" s="45">
        <v>14.1</v>
      </c>
      <c r="E326" s="45">
        <v>1038</v>
      </c>
      <c r="F326" s="45">
        <v>35</v>
      </c>
      <c r="G326" s="45">
        <v>1.1399999999999999</v>
      </c>
      <c r="H326" s="45">
        <v>0.14099999999999999</v>
      </c>
    </row>
    <row r="327" spans="1:8" x14ac:dyDescent="0.35">
      <c r="A327" s="45">
        <v>431</v>
      </c>
      <c r="B327" s="45">
        <v>6</v>
      </c>
      <c r="C327" s="45" t="s">
        <v>14</v>
      </c>
      <c r="D327" s="45">
        <v>1.2</v>
      </c>
      <c r="E327" s="45">
        <v>1042</v>
      </c>
      <c r="F327" s="45">
        <v>35</v>
      </c>
      <c r="G327" s="45">
        <v>0.76</v>
      </c>
      <c r="H327" s="45">
        <v>0.14199999999999999</v>
      </c>
    </row>
    <row r="328" spans="1:8" x14ac:dyDescent="0.35">
      <c r="A328" s="45">
        <v>430</v>
      </c>
      <c r="B328" s="45">
        <v>7</v>
      </c>
      <c r="C328" s="45" t="s">
        <v>17</v>
      </c>
      <c r="D328" s="45">
        <v>2.7</v>
      </c>
      <c r="E328" s="45">
        <v>1039</v>
      </c>
      <c r="F328" s="45">
        <v>35</v>
      </c>
      <c r="G328" s="45">
        <v>1.05</v>
      </c>
      <c r="H328" s="45">
        <v>0.14099999999999999</v>
      </c>
    </row>
    <row r="329" spans="1:8" x14ac:dyDescent="0.35">
      <c r="A329" s="45">
        <v>429</v>
      </c>
      <c r="B329" s="45">
        <v>9</v>
      </c>
      <c r="C329" s="45" t="s">
        <v>44</v>
      </c>
      <c r="D329" s="45">
        <v>1.1000000000000001</v>
      </c>
      <c r="E329" s="45">
        <v>1041</v>
      </c>
      <c r="F329" s="45">
        <v>35</v>
      </c>
      <c r="G329" s="45">
        <v>0.86</v>
      </c>
      <c r="H329" s="45">
        <v>0.14199999999999999</v>
      </c>
    </row>
    <row r="330" spans="1:8" x14ac:dyDescent="0.35">
      <c r="A330" s="45">
        <v>428</v>
      </c>
      <c r="B330" s="45">
        <v>1</v>
      </c>
      <c r="C330" s="45" t="s">
        <v>41</v>
      </c>
      <c r="D330" s="45">
        <v>2.8</v>
      </c>
      <c r="E330" s="45">
        <v>1042</v>
      </c>
      <c r="F330" s="45">
        <v>35</v>
      </c>
      <c r="G330" s="45">
        <v>0.76</v>
      </c>
      <c r="H330" s="45">
        <v>0.14199999999999999</v>
      </c>
    </row>
    <row r="331" spans="1:8" x14ac:dyDescent="0.35">
      <c r="A331" s="45">
        <v>427</v>
      </c>
      <c r="B331" s="45">
        <v>2</v>
      </c>
      <c r="C331" s="45" t="s">
        <v>74</v>
      </c>
      <c r="D331" s="45">
        <v>1</v>
      </c>
      <c r="E331" s="45">
        <v>1041</v>
      </c>
      <c r="F331" s="45">
        <v>35</v>
      </c>
      <c r="G331" s="45">
        <v>0.86</v>
      </c>
      <c r="H331" s="45">
        <v>0.14199999999999999</v>
      </c>
    </row>
    <row r="332" spans="1:8" x14ac:dyDescent="0.35">
      <c r="A332" s="45">
        <v>426</v>
      </c>
      <c r="B332" s="45">
        <v>5</v>
      </c>
      <c r="C332" s="45" t="s">
        <v>35</v>
      </c>
      <c r="D332" s="45">
        <v>1</v>
      </c>
      <c r="E332" s="45">
        <v>1039</v>
      </c>
      <c r="F332" s="45">
        <v>35</v>
      </c>
      <c r="G332" s="45">
        <v>1.05</v>
      </c>
      <c r="H332" s="45">
        <v>0.14099999999999999</v>
      </c>
    </row>
    <row r="333" spans="1:8" x14ac:dyDescent="0.35">
      <c r="A333" s="45">
        <v>425</v>
      </c>
      <c r="B333" s="45">
        <v>4</v>
      </c>
      <c r="C333" s="45" t="s">
        <v>28</v>
      </c>
      <c r="D333" s="45">
        <v>2.2999999999999998</v>
      </c>
      <c r="E333" s="45">
        <v>1041</v>
      </c>
      <c r="F333" s="45">
        <v>35</v>
      </c>
      <c r="G333" s="45">
        <v>0.86</v>
      </c>
      <c r="H333" s="45">
        <v>0.14199999999999999</v>
      </c>
    </row>
    <row r="334" spans="1:8" x14ac:dyDescent="0.35">
      <c r="A334" s="45">
        <v>424</v>
      </c>
      <c r="B334" s="45">
        <v>1</v>
      </c>
      <c r="C334" s="45" t="s">
        <v>41</v>
      </c>
      <c r="D334" s="45">
        <v>2.8</v>
      </c>
      <c r="E334" s="45">
        <v>1039</v>
      </c>
      <c r="F334" s="45">
        <v>35</v>
      </c>
      <c r="G334" s="45">
        <v>1.05</v>
      </c>
      <c r="H334" s="45">
        <v>0.14099999999999999</v>
      </c>
    </row>
    <row r="335" spans="1:8" x14ac:dyDescent="0.35">
      <c r="A335" s="45">
        <v>423</v>
      </c>
      <c r="B335" s="45">
        <v>8</v>
      </c>
      <c r="C335" s="45" t="s">
        <v>38</v>
      </c>
      <c r="D335" s="45">
        <v>2</v>
      </c>
      <c r="E335" s="45">
        <v>1038</v>
      </c>
      <c r="F335" s="45">
        <v>35</v>
      </c>
      <c r="G335" s="45">
        <v>1.1399999999999999</v>
      </c>
      <c r="H335" s="45">
        <v>0.14099999999999999</v>
      </c>
    </row>
    <row r="336" spans="1:8" x14ac:dyDescent="0.35">
      <c r="A336" s="45">
        <v>422</v>
      </c>
      <c r="B336" s="45">
        <v>11</v>
      </c>
      <c r="C336" s="45" t="s">
        <v>23</v>
      </c>
      <c r="D336" s="45">
        <v>19.7</v>
      </c>
      <c r="E336" s="45">
        <v>1039</v>
      </c>
      <c r="F336" s="45">
        <v>35</v>
      </c>
      <c r="G336" s="45">
        <v>1.05</v>
      </c>
      <c r="H336" s="45">
        <v>0.14099999999999999</v>
      </c>
    </row>
    <row r="337" spans="1:8" x14ac:dyDescent="0.35">
      <c r="A337" s="45">
        <v>421</v>
      </c>
      <c r="B337" s="45">
        <v>7</v>
      </c>
      <c r="C337" s="45" t="s">
        <v>17</v>
      </c>
      <c r="D337" s="45">
        <v>2.8</v>
      </c>
      <c r="E337" s="45">
        <v>1041</v>
      </c>
      <c r="F337" s="45">
        <v>35</v>
      </c>
      <c r="G337" s="45">
        <v>0.86</v>
      </c>
      <c r="H337" s="45">
        <v>0.14199999999999999</v>
      </c>
    </row>
    <row r="338" spans="1:8" x14ac:dyDescent="0.35">
      <c r="A338" s="45">
        <v>420</v>
      </c>
      <c r="B338" s="45">
        <v>9</v>
      </c>
      <c r="C338" s="45" t="s">
        <v>44</v>
      </c>
      <c r="D338" s="45">
        <v>1</v>
      </c>
      <c r="E338" s="45">
        <v>1038</v>
      </c>
      <c r="F338" s="45">
        <v>35</v>
      </c>
      <c r="G338" s="45">
        <v>1.1399999999999999</v>
      </c>
      <c r="H338" s="45">
        <v>0.14099999999999999</v>
      </c>
    </row>
    <row r="339" spans="1:8" x14ac:dyDescent="0.35">
      <c r="A339" s="45">
        <v>419</v>
      </c>
      <c r="B339" s="45">
        <v>11</v>
      </c>
      <c r="C339" s="45" t="s">
        <v>23</v>
      </c>
      <c r="D339" s="45">
        <v>14.1</v>
      </c>
      <c r="E339" s="45">
        <v>1041</v>
      </c>
      <c r="F339" s="45">
        <v>35</v>
      </c>
      <c r="G339" s="45">
        <v>0.86</v>
      </c>
      <c r="H339" s="45">
        <v>0.14199999999999999</v>
      </c>
    </row>
    <row r="340" spans="1:8" x14ac:dyDescent="0.35">
      <c r="A340" s="45">
        <v>418</v>
      </c>
      <c r="B340" s="45">
        <v>5</v>
      </c>
      <c r="C340" s="45" t="s">
        <v>35</v>
      </c>
      <c r="D340" s="45">
        <v>1</v>
      </c>
      <c r="E340" s="45">
        <v>1041</v>
      </c>
      <c r="F340" s="45">
        <v>35</v>
      </c>
      <c r="G340" s="45">
        <v>0.86</v>
      </c>
      <c r="H340" s="45">
        <v>0.14199999999999999</v>
      </c>
    </row>
    <row r="341" spans="1:8" x14ac:dyDescent="0.35">
      <c r="A341" s="45">
        <v>417</v>
      </c>
      <c r="B341" s="45">
        <v>1</v>
      </c>
      <c r="C341" s="45" t="s">
        <v>41</v>
      </c>
      <c r="D341" s="45">
        <v>2.9</v>
      </c>
      <c r="E341" s="45">
        <v>1040</v>
      </c>
      <c r="F341" s="45">
        <v>35</v>
      </c>
      <c r="G341" s="45">
        <v>0.95</v>
      </c>
      <c r="H341" s="45">
        <v>0.14099999999999999</v>
      </c>
    </row>
    <row r="342" spans="1:8" x14ac:dyDescent="0.35">
      <c r="A342" s="45">
        <v>416</v>
      </c>
      <c r="B342" s="45">
        <v>7</v>
      </c>
      <c r="C342" s="45" t="s">
        <v>17</v>
      </c>
      <c r="D342" s="45">
        <v>2.8</v>
      </c>
      <c r="E342" s="45">
        <v>1037</v>
      </c>
      <c r="F342" s="45">
        <v>35</v>
      </c>
      <c r="G342" s="45">
        <v>1.24</v>
      </c>
      <c r="H342" s="45">
        <v>0.14099999999999999</v>
      </c>
    </row>
    <row r="343" spans="1:8" x14ac:dyDescent="0.35">
      <c r="A343" s="45">
        <v>415</v>
      </c>
      <c r="B343" s="45">
        <v>4</v>
      </c>
      <c r="C343" s="45" t="s">
        <v>28</v>
      </c>
      <c r="D343" s="45">
        <v>2.2999999999999998</v>
      </c>
      <c r="E343" s="45">
        <v>1041</v>
      </c>
      <c r="F343" s="45">
        <v>35</v>
      </c>
      <c r="G343" s="45">
        <v>0.86</v>
      </c>
      <c r="H343" s="45">
        <v>0.14199999999999999</v>
      </c>
    </row>
    <row r="344" spans="1:8" x14ac:dyDescent="0.35">
      <c r="A344" s="45">
        <v>414</v>
      </c>
      <c r="B344" s="45">
        <v>11</v>
      </c>
      <c r="C344" s="45" t="s">
        <v>23</v>
      </c>
      <c r="D344" s="45">
        <v>13.6</v>
      </c>
      <c r="E344" s="45">
        <v>1041</v>
      </c>
      <c r="F344" s="45">
        <v>35</v>
      </c>
      <c r="G344" s="45">
        <v>0.86</v>
      </c>
      <c r="H344" s="45">
        <v>0.14199999999999999</v>
      </c>
    </row>
    <row r="345" spans="1:8" x14ac:dyDescent="0.35">
      <c r="A345" s="45">
        <v>413</v>
      </c>
      <c r="B345" s="45">
        <v>11</v>
      </c>
      <c r="C345" s="45" t="s">
        <v>23</v>
      </c>
      <c r="D345" s="45">
        <v>18</v>
      </c>
      <c r="E345" s="45">
        <v>1039</v>
      </c>
      <c r="F345" s="45">
        <v>35</v>
      </c>
      <c r="G345" s="45">
        <v>1.05</v>
      </c>
      <c r="H345" s="45">
        <v>0.14099999999999999</v>
      </c>
    </row>
    <row r="346" spans="1:8" x14ac:dyDescent="0.35">
      <c r="A346" s="45">
        <v>412</v>
      </c>
      <c r="B346" s="45">
        <v>2</v>
      </c>
      <c r="C346" s="45" t="s">
        <v>74</v>
      </c>
      <c r="D346" s="45">
        <v>1.1000000000000001</v>
      </c>
      <c r="E346" s="45">
        <v>1041</v>
      </c>
      <c r="F346" s="45">
        <v>35</v>
      </c>
      <c r="G346" s="45">
        <v>0.86</v>
      </c>
      <c r="H346" s="45">
        <v>0.14199999999999999</v>
      </c>
    </row>
    <row r="347" spans="1:8" x14ac:dyDescent="0.35">
      <c r="A347" s="45">
        <v>411</v>
      </c>
      <c r="B347" s="45">
        <v>9</v>
      </c>
      <c r="C347" s="45" t="s">
        <v>44</v>
      </c>
      <c r="D347" s="45">
        <v>1.3</v>
      </c>
      <c r="E347" s="45">
        <v>1039</v>
      </c>
      <c r="F347" s="45">
        <v>35</v>
      </c>
      <c r="G347" s="45">
        <v>1.05</v>
      </c>
      <c r="H347" s="45">
        <v>0.14099999999999999</v>
      </c>
    </row>
    <row r="348" spans="1:8" x14ac:dyDescent="0.35">
      <c r="A348" s="45">
        <v>410</v>
      </c>
      <c r="B348" s="45">
        <v>8</v>
      </c>
      <c r="C348" s="45" t="s">
        <v>38</v>
      </c>
      <c r="D348" s="45">
        <v>2.1</v>
      </c>
      <c r="E348" s="45">
        <v>1040</v>
      </c>
      <c r="F348" s="45">
        <v>35</v>
      </c>
      <c r="G348" s="45">
        <v>0.95</v>
      </c>
      <c r="H348" s="45">
        <v>0.14099999999999999</v>
      </c>
    </row>
    <row r="349" spans="1:8" x14ac:dyDescent="0.35">
      <c r="A349" s="45">
        <v>409</v>
      </c>
      <c r="B349" s="45">
        <v>3</v>
      </c>
      <c r="C349" s="45" t="s">
        <v>20</v>
      </c>
      <c r="D349" s="45">
        <v>4.8</v>
      </c>
      <c r="E349" s="45">
        <v>1039</v>
      </c>
      <c r="F349" s="45">
        <v>35</v>
      </c>
      <c r="G349" s="45">
        <v>1.05</v>
      </c>
      <c r="H349" s="45">
        <v>0.14099999999999999</v>
      </c>
    </row>
    <row r="350" spans="1:8" x14ac:dyDescent="0.35">
      <c r="A350" s="45">
        <v>408</v>
      </c>
      <c r="B350" s="45">
        <v>5</v>
      </c>
      <c r="C350" s="45" t="s">
        <v>35</v>
      </c>
      <c r="D350" s="45">
        <v>1</v>
      </c>
      <c r="E350" s="45">
        <v>1042</v>
      </c>
      <c r="F350" s="45">
        <v>35</v>
      </c>
      <c r="G350" s="45">
        <v>0.76</v>
      </c>
      <c r="H350" s="45">
        <v>0.14199999999999999</v>
      </c>
    </row>
    <row r="351" spans="1:8" x14ac:dyDescent="0.35">
      <c r="A351" s="45">
        <v>407</v>
      </c>
      <c r="B351" s="45">
        <v>11</v>
      </c>
      <c r="C351" s="45" t="s">
        <v>23</v>
      </c>
      <c r="D351" s="45">
        <v>13.6</v>
      </c>
      <c r="E351" s="45">
        <v>1041</v>
      </c>
      <c r="F351" s="45">
        <v>35</v>
      </c>
      <c r="G351" s="45">
        <v>0.86</v>
      </c>
      <c r="H351" s="45">
        <v>0.14199999999999999</v>
      </c>
    </row>
    <row r="352" spans="1:8" x14ac:dyDescent="0.35">
      <c r="A352" s="45">
        <v>406</v>
      </c>
      <c r="B352" s="45">
        <v>2</v>
      </c>
      <c r="C352" s="45" t="s">
        <v>74</v>
      </c>
      <c r="D352" s="45">
        <v>1.4</v>
      </c>
      <c r="E352" s="45">
        <v>1039</v>
      </c>
      <c r="F352" s="45">
        <v>35</v>
      </c>
      <c r="G352" s="45">
        <v>1.05</v>
      </c>
      <c r="H352" s="45">
        <v>0.14099999999999999</v>
      </c>
    </row>
    <row r="353" spans="1:8" x14ac:dyDescent="0.35">
      <c r="A353" s="45">
        <v>405</v>
      </c>
      <c r="B353" s="45">
        <v>11</v>
      </c>
      <c r="C353" s="45" t="s">
        <v>23</v>
      </c>
      <c r="D353" s="45">
        <v>20.100000000000001</v>
      </c>
      <c r="E353" s="45">
        <v>1038</v>
      </c>
      <c r="F353" s="45">
        <v>35</v>
      </c>
      <c r="G353" s="45">
        <v>1.1399999999999999</v>
      </c>
      <c r="H353" s="45">
        <v>0.14099999999999999</v>
      </c>
    </row>
    <row r="354" spans="1:8" x14ac:dyDescent="0.35">
      <c r="A354" s="45">
        <v>404</v>
      </c>
      <c r="B354" s="45">
        <v>1</v>
      </c>
      <c r="C354" s="45" t="s">
        <v>41</v>
      </c>
      <c r="D354" s="45">
        <v>2.8</v>
      </c>
      <c r="E354" s="45">
        <v>1040</v>
      </c>
      <c r="F354" s="45">
        <v>35</v>
      </c>
      <c r="G354" s="45">
        <v>0.95</v>
      </c>
      <c r="H354" s="45">
        <v>0.14099999999999999</v>
      </c>
    </row>
    <row r="355" spans="1:8" x14ac:dyDescent="0.35">
      <c r="A355" s="45">
        <v>403</v>
      </c>
      <c r="B355" s="45">
        <v>5</v>
      </c>
      <c r="C355" s="45" t="s">
        <v>35</v>
      </c>
      <c r="D355" s="45">
        <v>1</v>
      </c>
      <c r="E355" s="45">
        <v>1039</v>
      </c>
      <c r="F355" s="45">
        <v>35</v>
      </c>
      <c r="G355" s="45">
        <v>1.05</v>
      </c>
      <c r="H355" s="45">
        <v>0.14099999999999999</v>
      </c>
    </row>
    <row r="356" spans="1:8" x14ac:dyDescent="0.35">
      <c r="A356" s="45">
        <v>402</v>
      </c>
      <c r="B356" s="45">
        <v>11</v>
      </c>
      <c r="C356" s="45" t="s">
        <v>23</v>
      </c>
      <c r="D356" s="45">
        <v>16.899999999999999</v>
      </c>
      <c r="E356" s="45">
        <v>1036</v>
      </c>
      <c r="F356" s="45">
        <v>35</v>
      </c>
      <c r="G356" s="45">
        <v>1.33</v>
      </c>
      <c r="H356" s="45">
        <v>0.14099999999999999</v>
      </c>
    </row>
    <row r="357" spans="1:8" x14ac:dyDescent="0.35">
      <c r="A357" s="45">
        <v>401</v>
      </c>
      <c r="B357" s="45">
        <v>3</v>
      </c>
      <c r="C357" s="45" t="s">
        <v>20</v>
      </c>
      <c r="D357" s="45">
        <v>1.1000000000000001</v>
      </c>
      <c r="E357" s="45">
        <v>1036</v>
      </c>
      <c r="F357" s="45">
        <v>35</v>
      </c>
      <c r="G357" s="45">
        <v>1.33</v>
      </c>
      <c r="H357" s="45">
        <v>0.14099999999999999</v>
      </c>
    </row>
    <row r="358" spans="1:8" x14ac:dyDescent="0.35">
      <c r="A358" s="44" t="s">
        <v>1626</v>
      </c>
      <c r="B358" s="44" t="s">
        <v>1627</v>
      </c>
      <c r="C358" s="44" t="s">
        <v>4</v>
      </c>
      <c r="D358" s="44" t="s">
        <v>5</v>
      </c>
      <c r="E358" s="44" t="s">
        <v>6</v>
      </c>
      <c r="F358" s="44" t="s">
        <v>1629</v>
      </c>
      <c r="G358" s="44" t="s">
        <v>1628</v>
      </c>
      <c r="H358" s="44" t="s">
        <v>10</v>
      </c>
    </row>
    <row r="359" spans="1:8" x14ac:dyDescent="0.35">
      <c r="A359" s="45">
        <v>400</v>
      </c>
      <c r="B359" s="45">
        <v>4</v>
      </c>
      <c r="C359" s="45" t="s">
        <v>28</v>
      </c>
      <c r="D359" s="45">
        <v>2.2999999999999998</v>
      </c>
      <c r="E359" s="45">
        <v>889</v>
      </c>
      <c r="F359" s="45">
        <v>30</v>
      </c>
      <c r="G359" s="45">
        <v>1.22</v>
      </c>
      <c r="H359" s="45">
        <v>0.121</v>
      </c>
    </row>
    <row r="360" spans="1:8" x14ac:dyDescent="0.35">
      <c r="A360" s="45">
        <v>399</v>
      </c>
      <c r="B360" s="45">
        <v>2</v>
      </c>
      <c r="C360" s="45" t="s">
        <v>74</v>
      </c>
      <c r="D360" s="45">
        <v>1.2</v>
      </c>
      <c r="E360" s="45">
        <v>888</v>
      </c>
      <c r="F360" s="45">
        <v>30</v>
      </c>
      <c r="G360" s="45">
        <v>1.33</v>
      </c>
      <c r="H360" s="45">
        <v>0.121</v>
      </c>
    </row>
    <row r="361" spans="1:8" x14ac:dyDescent="0.35">
      <c r="A361" s="45">
        <v>398</v>
      </c>
      <c r="B361" s="45">
        <v>11</v>
      </c>
      <c r="C361" s="45" t="s">
        <v>23</v>
      </c>
      <c r="D361" s="45">
        <v>5.0999999999999996</v>
      </c>
      <c r="E361" s="45">
        <v>889</v>
      </c>
      <c r="F361" s="45">
        <v>30</v>
      </c>
      <c r="G361" s="45">
        <v>1.22</v>
      </c>
      <c r="H361" s="45">
        <v>0.121</v>
      </c>
    </row>
    <row r="362" spans="1:8" x14ac:dyDescent="0.35">
      <c r="A362" s="45">
        <v>397</v>
      </c>
      <c r="B362" s="45">
        <v>9</v>
      </c>
      <c r="C362" s="45" t="s">
        <v>44</v>
      </c>
      <c r="D362" s="45">
        <v>1.3</v>
      </c>
      <c r="E362" s="45">
        <v>891</v>
      </c>
      <c r="F362" s="45">
        <v>30</v>
      </c>
      <c r="G362" s="45">
        <v>1</v>
      </c>
      <c r="H362" s="45">
        <v>0.121</v>
      </c>
    </row>
    <row r="363" spans="1:8" x14ac:dyDescent="0.35">
      <c r="A363" s="45">
        <v>396</v>
      </c>
      <c r="B363" s="45">
        <v>3</v>
      </c>
      <c r="C363" s="45" t="s">
        <v>20</v>
      </c>
      <c r="D363" s="45">
        <v>1.2</v>
      </c>
      <c r="E363" s="45">
        <v>890</v>
      </c>
      <c r="F363" s="45">
        <v>30</v>
      </c>
      <c r="G363" s="45">
        <v>1.1100000000000001</v>
      </c>
      <c r="H363" s="45">
        <v>0.121</v>
      </c>
    </row>
    <row r="364" spans="1:8" x14ac:dyDescent="0.35">
      <c r="A364" s="45">
        <v>395</v>
      </c>
      <c r="B364" s="45">
        <v>4</v>
      </c>
      <c r="C364" s="45" t="s">
        <v>28</v>
      </c>
      <c r="D364" s="45">
        <v>2.2000000000000002</v>
      </c>
      <c r="E364" s="45">
        <v>890</v>
      </c>
      <c r="F364" s="45">
        <v>30</v>
      </c>
      <c r="G364" s="45">
        <v>1.1100000000000001</v>
      </c>
      <c r="H364" s="45">
        <v>0.121</v>
      </c>
    </row>
    <row r="365" spans="1:8" x14ac:dyDescent="0.35">
      <c r="A365" s="45">
        <v>394</v>
      </c>
      <c r="B365" s="45">
        <v>11</v>
      </c>
      <c r="C365" s="45" t="s">
        <v>23</v>
      </c>
      <c r="D365" s="45">
        <v>20.9</v>
      </c>
      <c r="E365" s="45">
        <v>889</v>
      </c>
      <c r="F365" s="45">
        <v>30</v>
      </c>
      <c r="G365" s="45">
        <v>1.22</v>
      </c>
      <c r="H365" s="45">
        <v>0.121</v>
      </c>
    </row>
    <row r="366" spans="1:8" x14ac:dyDescent="0.35">
      <c r="A366" s="45">
        <v>393</v>
      </c>
      <c r="B366" s="45">
        <v>11</v>
      </c>
      <c r="C366" s="45" t="s">
        <v>23</v>
      </c>
      <c r="D366" s="45">
        <v>17.399999999999999</v>
      </c>
      <c r="E366" s="45">
        <v>890</v>
      </c>
      <c r="F366" s="45">
        <v>30</v>
      </c>
      <c r="G366" s="45">
        <v>1.1100000000000001</v>
      </c>
      <c r="H366" s="45">
        <v>0.121</v>
      </c>
    </row>
    <row r="367" spans="1:8" x14ac:dyDescent="0.35">
      <c r="A367" s="45">
        <v>392</v>
      </c>
      <c r="B367" s="45">
        <v>11</v>
      </c>
      <c r="C367" s="45" t="s">
        <v>23</v>
      </c>
      <c r="D367" s="45">
        <v>12</v>
      </c>
      <c r="E367" s="45">
        <v>888</v>
      </c>
      <c r="F367" s="45">
        <v>30</v>
      </c>
      <c r="G367" s="45">
        <v>1.33</v>
      </c>
      <c r="H367" s="45">
        <v>0.121</v>
      </c>
    </row>
    <row r="368" spans="1:8" x14ac:dyDescent="0.35">
      <c r="A368" s="45">
        <v>391</v>
      </c>
      <c r="B368" s="45">
        <v>8</v>
      </c>
      <c r="C368" s="45" t="s">
        <v>38</v>
      </c>
      <c r="D368" s="45">
        <v>2.1</v>
      </c>
      <c r="E368" s="45">
        <v>892</v>
      </c>
      <c r="F368" s="45">
        <v>30</v>
      </c>
      <c r="G368" s="45">
        <v>0.89</v>
      </c>
      <c r="H368" s="45">
        <v>0.121</v>
      </c>
    </row>
    <row r="369" spans="1:8" x14ac:dyDescent="0.35">
      <c r="A369" s="45">
        <v>390</v>
      </c>
      <c r="B369" s="45">
        <v>11</v>
      </c>
      <c r="C369" s="45" t="s">
        <v>23</v>
      </c>
      <c r="D369" s="45">
        <v>20.9</v>
      </c>
      <c r="E369" s="45">
        <v>890</v>
      </c>
      <c r="F369" s="45">
        <v>30</v>
      </c>
      <c r="G369" s="45">
        <v>1.1100000000000001</v>
      </c>
      <c r="H369" s="45">
        <v>0.121</v>
      </c>
    </row>
    <row r="370" spans="1:8" x14ac:dyDescent="0.35">
      <c r="A370" s="45">
        <v>389</v>
      </c>
      <c r="B370" s="45">
        <v>7</v>
      </c>
      <c r="C370" s="45" t="s">
        <v>17</v>
      </c>
      <c r="D370" s="45">
        <v>2.8</v>
      </c>
      <c r="E370" s="45">
        <v>890</v>
      </c>
      <c r="F370" s="45">
        <v>30</v>
      </c>
      <c r="G370" s="45">
        <v>1.1100000000000001</v>
      </c>
      <c r="H370" s="45">
        <v>0.121</v>
      </c>
    </row>
    <row r="371" spans="1:8" x14ac:dyDescent="0.35">
      <c r="A371" s="45">
        <v>388</v>
      </c>
      <c r="B371" s="45">
        <v>11</v>
      </c>
      <c r="C371" s="45" t="s">
        <v>23</v>
      </c>
      <c r="D371" s="45">
        <v>15</v>
      </c>
      <c r="E371" s="45">
        <v>890</v>
      </c>
      <c r="F371" s="45">
        <v>30</v>
      </c>
      <c r="G371" s="45">
        <v>1.1100000000000001</v>
      </c>
      <c r="H371" s="45">
        <v>0.121</v>
      </c>
    </row>
    <row r="372" spans="1:8" x14ac:dyDescent="0.35">
      <c r="A372" s="45">
        <v>387</v>
      </c>
      <c r="B372" s="45">
        <v>3</v>
      </c>
      <c r="C372" s="45" t="s">
        <v>20</v>
      </c>
      <c r="D372" s="45">
        <v>3.1</v>
      </c>
      <c r="E372" s="45">
        <v>889</v>
      </c>
      <c r="F372" s="45">
        <v>30</v>
      </c>
      <c r="G372" s="45">
        <v>1.22</v>
      </c>
      <c r="H372" s="45">
        <v>0.121</v>
      </c>
    </row>
    <row r="373" spans="1:8" x14ac:dyDescent="0.35">
      <c r="A373" s="45">
        <v>386</v>
      </c>
      <c r="B373" s="45">
        <v>3</v>
      </c>
      <c r="C373" s="45" t="s">
        <v>20</v>
      </c>
      <c r="D373" s="45">
        <v>1.4</v>
      </c>
      <c r="E373" s="45">
        <v>890</v>
      </c>
      <c r="F373" s="45">
        <v>30</v>
      </c>
      <c r="G373" s="45">
        <v>1.1100000000000001</v>
      </c>
      <c r="H373" s="45">
        <v>0.121</v>
      </c>
    </row>
    <row r="374" spans="1:8" x14ac:dyDescent="0.35">
      <c r="A374" s="45">
        <v>385</v>
      </c>
      <c r="B374" s="45">
        <v>11</v>
      </c>
      <c r="C374" s="45" t="s">
        <v>23</v>
      </c>
      <c r="D374" s="45">
        <v>20.8</v>
      </c>
      <c r="E374" s="45">
        <v>891</v>
      </c>
      <c r="F374" s="45">
        <v>30</v>
      </c>
      <c r="G374" s="45">
        <v>1</v>
      </c>
      <c r="H374" s="45">
        <v>0.121</v>
      </c>
    </row>
    <row r="375" spans="1:8" x14ac:dyDescent="0.35">
      <c r="A375" s="45">
        <v>384</v>
      </c>
      <c r="B375" s="45">
        <v>11</v>
      </c>
      <c r="C375" s="45" t="s">
        <v>23</v>
      </c>
      <c r="D375" s="45">
        <v>19.399999999999999</v>
      </c>
      <c r="E375" s="45">
        <v>889</v>
      </c>
      <c r="F375" s="45">
        <v>30</v>
      </c>
      <c r="G375" s="45">
        <v>1.22</v>
      </c>
      <c r="H375" s="45">
        <v>0.121</v>
      </c>
    </row>
    <row r="376" spans="1:8" x14ac:dyDescent="0.35">
      <c r="A376" s="45">
        <v>383</v>
      </c>
      <c r="B376" s="45">
        <v>11</v>
      </c>
      <c r="C376" s="45" t="s">
        <v>23</v>
      </c>
      <c r="D376" s="45">
        <v>17.600000000000001</v>
      </c>
      <c r="E376" s="45">
        <v>890</v>
      </c>
      <c r="F376" s="45">
        <v>30</v>
      </c>
      <c r="G376" s="45">
        <v>1.1100000000000001</v>
      </c>
      <c r="H376" s="45">
        <v>0.121</v>
      </c>
    </row>
    <row r="377" spans="1:8" x14ac:dyDescent="0.35">
      <c r="A377" s="45">
        <v>382</v>
      </c>
      <c r="B377" s="45">
        <v>7</v>
      </c>
      <c r="C377" s="45" t="s">
        <v>17</v>
      </c>
      <c r="D377" s="45">
        <v>2.8</v>
      </c>
      <c r="E377" s="45">
        <v>890</v>
      </c>
      <c r="F377" s="45">
        <v>30</v>
      </c>
      <c r="G377" s="45">
        <v>1.1100000000000001</v>
      </c>
      <c r="H377" s="45">
        <v>0.121</v>
      </c>
    </row>
    <row r="378" spans="1:8" x14ac:dyDescent="0.35">
      <c r="A378" s="45">
        <v>381</v>
      </c>
      <c r="B378" s="45">
        <v>9</v>
      </c>
      <c r="C378" s="45" t="s">
        <v>44</v>
      </c>
      <c r="D378" s="45">
        <v>1.4</v>
      </c>
      <c r="E378" s="45">
        <v>891</v>
      </c>
      <c r="F378" s="45">
        <v>30</v>
      </c>
      <c r="G378" s="45">
        <v>1</v>
      </c>
      <c r="H378" s="45">
        <v>0.121</v>
      </c>
    </row>
    <row r="379" spans="1:8" x14ac:dyDescent="0.35">
      <c r="A379" s="45">
        <v>380</v>
      </c>
      <c r="B379" s="45">
        <v>5</v>
      </c>
      <c r="C379" s="45" t="s">
        <v>35</v>
      </c>
      <c r="D379" s="45">
        <v>1.1000000000000001</v>
      </c>
      <c r="E379" s="45">
        <v>890</v>
      </c>
      <c r="F379" s="45">
        <v>30</v>
      </c>
      <c r="G379" s="45">
        <v>1.1100000000000001</v>
      </c>
      <c r="H379" s="45">
        <v>0.121</v>
      </c>
    </row>
    <row r="380" spans="1:8" x14ac:dyDescent="0.35">
      <c r="A380" s="45">
        <v>379</v>
      </c>
      <c r="B380" s="45">
        <v>4</v>
      </c>
      <c r="C380" s="45" t="s">
        <v>28</v>
      </c>
      <c r="D380" s="45">
        <v>2.2999999999999998</v>
      </c>
      <c r="E380" s="45">
        <v>890</v>
      </c>
      <c r="F380" s="45">
        <v>30</v>
      </c>
      <c r="G380" s="45">
        <v>1.1100000000000001</v>
      </c>
      <c r="H380" s="45">
        <v>0.121</v>
      </c>
    </row>
    <row r="381" spans="1:8" x14ac:dyDescent="0.35">
      <c r="A381" s="45">
        <v>378</v>
      </c>
      <c r="B381" s="45">
        <v>11</v>
      </c>
      <c r="C381" s="45" t="s">
        <v>23</v>
      </c>
      <c r="D381" s="45">
        <v>20.8</v>
      </c>
      <c r="E381" s="45">
        <v>890</v>
      </c>
      <c r="F381" s="45">
        <v>30</v>
      </c>
      <c r="G381" s="45">
        <v>1.1100000000000001</v>
      </c>
      <c r="H381" s="45">
        <v>0.121</v>
      </c>
    </row>
    <row r="382" spans="1:8" x14ac:dyDescent="0.35">
      <c r="A382" s="45">
        <v>377</v>
      </c>
      <c r="B382" s="45">
        <v>11</v>
      </c>
      <c r="C382" s="45" t="s">
        <v>23</v>
      </c>
      <c r="D382" s="45">
        <v>18.899999999999999</v>
      </c>
      <c r="E382" s="45">
        <v>891</v>
      </c>
      <c r="F382" s="45">
        <v>30</v>
      </c>
      <c r="G382" s="45">
        <v>1</v>
      </c>
      <c r="H382" s="45">
        <v>0.121</v>
      </c>
    </row>
    <row r="383" spans="1:8" x14ac:dyDescent="0.35">
      <c r="A383" s="45">
        <v>376</v>
      </c>
      <c r="B383" s="45">
        <v>11</v>
      </c>
      <c r="C383" s="45" t="s">
        <v>23</v>
      </c>
      <c r="D383" s="45">
        <v>6.3</v>
      </c>
      <c r="E383" s="45">
        <v>889</v>
      </c>
      <c r="F383" s="45">
        <v>30</v>
      </c>
      <c r="G383" s="45">
        <v>1.22</v>
      </c>
      <c r="H383" s="45">
        <v>0.121</v>
      </c>
    </row>
    <row r="384" spans="1:8" x14ac:dyDescent="0.35">
      <c r="A384" s="45">
        <v>375</v>
      </c>
      <c r="B384" s="45">
        <v>3</v>
      </c>
      <c r="C384" s="45" t="s">
        <v>20</v>
      </c>
      <c r="D384" s="45">
        <v>1.1000000000000001</v>
      </c>
      <c r="E384" s="45">
        <v>890</v>
      </c>
      <c r="F384" s="45">
        <v>30</v>
      </c>
      <c r="G384" s="45">
        <v>1.1100000000000001</v>
      </c>
      <c r="H384" s="45">
        <v>0.121</v>
      </c>
    </row>
    <row r="385" spans="1:8" x14ac:dyDescent="0.35">
      <c r="A385" s="45">
        <v>374</v>
      </c>
      <c r="B385" s="45">
        <v>11</v>
      </c>
      <c r="C385" s="45" t="s">
        <v>23</v>
      </c>
      <c r="D385" s="45">
        <v>16.3</v>
      </c>
      <c r="E385" s="45">
        <v>889</v>
      </c>
      <c r="F385" s="45">
        <v>30</v>
      </c>
      <c r="G385" s="45">
        <v>1.22</v>
      </c>
      <c r="H385" s="45">
        <v>0.121</v>
      </c>
    </row>
    <row r="386" spans="1:8" x14ac:dyDescent="0.35">
      <c r="A386" s="45">
        <v>373</v>
      </c>
      <c r="B386" s="45">
        <v>7</v>
      </c>
      <c r="C386" s="45" t="s">
        <v>17</v>
      </c>
      <c r="D386" s="45">
        <v>2.8</v>
      </c>
      <c r="E386" s="45">
        <v>891</v>
      </c>
      <c r="F386" s="45">
        <v>30</v>
      </c>
      <c r="G386" s="45">
        <v>1</v>
      </c>
      <c r="H386" s="45">
        <v>0.121</v>
      </c>
    </row>
    <row r="387" spans="1:8" x14ac:dyDescent="0.35">
      <c r="A387" s="45">
        <v>372</v>
      </c>
      <c r="B387" s="45">
        <v>4</v>
      </c>
      <c r="C387" s="45" t="s">
        <v>28</v>
      </c>
      <c r="D387" s="45">
        <v>2.2999999999999998</v>
      </c>
      <c r="E387" s="45">
        <v>891</v>
      </c>
      <c r="F387" s="45">
        <v>30</v>
      </c>
      <c r="G387" s="45">
        <v>1</v>
      </c>
      <c r="H387" s="45">
        <v>0.121</v>
      </c>
    </row>
    <row r="388" spans="1:8" x14ac:dyDescent="0.35">
      <c r="A388" s="45">
        <v>371</v>
      </c>
      <c r="B388" s="45">
        <v>11</v>
      </c>
      <c r="C388" s="45" t="s">
        <v>23</v>
      </c>
      <c r="D388" s="45">
        <v>17.8</v>
      </c>
      <c r="E388" s="45">
        <v>889</v>
      </c>
      <c r="F388" s="45">
        <v>30</v>
      </c>
      <c r="G388" s="45">
        <v>1.22</v>
      </c>
      <c r="H388" s="45">
        <v>0.121</v>
      </c>
    </row>
    <row r="389" spans="1:8" x14ac:dyDescent="0.35">
      <c r="A389" s="45">
        <v>370</v>
      </c>
      <c r="B389" s="45">
        <v>6</v>
      </c>
      <c r="C389" s="45" t="s">
        <v>14</v>
      </c>
      <c r="D389" s="45">
        <v>1.2</v>
      </c>
      <c r="E389" s="45">
        <v>891</v>
      </c>
      <c r="F389" s="45">
        <v>30</v>
      </c>
      <c r="G389" s="45">
        <v>1</v>
      </c>
      <c r="H389" s="45">
        <v>0.121</v>
      </c>
    </row>
    <row r="390" spans="1:8" x14ac:dyDescent="0.35">
      <c r="A390" s="45">
        <v>369</v>
      </c>
      <c r="B390" s="45">
        <v>11</v>
      </c>
      <c r="C390" s="45" t="s">
        <v>23</v>
      </c>
      <c r="D390" s="45">
        <v>21.8</v>
      </c>
      <c r="E390" s="45">
        <v>889</v>
      </c>
      <c r="F390" s="45">
        <v>30</v>
      </c>
      <c r="G390" s="45">
        <v>1.22</v>
      </c>
      <c r="H390" s="45">
        <v>0.121</v>
      </c>
    </row>
    <row r="391" spans="1:8" x14ac:dyDescent="0.35">
      <c r="A391" s="45">
        <v>368</v>
      </c>
      <c r="B391" s="45">
        <v>1</v>
      </c>
      <c r="C391" s="45" t="s">
        <v>41</v>
      </c>
      <c r="D391" s="45">
        <v>2.9</v>
      </c>
      <c r="E391" s="45">
        <v>891</v>
      </c>
      <c r="F391" s="45">
        <v>30</v>
      </c>
      <c r="G391" s="45">
        <v>1</v>
      </c>
      <c r="H391" s="45">
        <v>0.121</v>
      </c>
    </row>
    <row r="392" spans="1:8" x14ac:dyDescent="0.35">
      <c r="A392" s="45">
        <v>367</v>
      </c>
      <c r="B392" s="45">
        <v>3</v>
      </c>
      <c r="C392" s="45" t="s">
        <v>20</v>
      </c>
      <c r="D392" s="45">
        <v>1.1000000000000001</v>
      </c>
      <c r="E392" s="45">
        <v>891</v>
      </c>
      <c r="F392" s="45">
        <v>30</v>
      </c>
      <c r="G392" s="45">
        <v>1</v>
      </c>
      <c r="H392" s="45">
        <v>0.121</v>
      </c>
    </row>
    <row r="393" spans="1:8" x14ac:dyDescent="0.35">
      <c r="A393" s="45">
        <v>366</v>
      </c>
      <c r="B393" s="45">
        <v>6</v>
      </c>
      <c r="C393" s="45" t="s">
        <v>14</v>
      </c>
      <c r="D393" s="45">
        <v>1.2</v>
      </c>
      <c r="E393" s="45">
        <v>890</v>
      </c>
      <c r="F393" s="45">
        <v>30</v>
      </c>
      <c r="G393" s="45">
        <v>1.1100000000000001</v>
      </c>
      <c r="H393" s="45">
        <v>0.121</v>
      </c>
    </row>
    <row r="394" spans="1:8" x14ac:dyDescent="0.35">
      <c r="A394" s="45">
        <v>365</v>
      </c>
      <c r="B394" s="45">
        <v>7</v>
      </c>
      <c r="C394" s="45" t="s">
        <v>17</v>
      </c>
      <c r="D394" s="45">
        <v>2.8</v>
      </c>
      <c r="E394" s="45">
        <v>890</v>
      </c>
      <c r="F394" s="45">
        <v>30</v>
      </c>
      <c r="G394" s="45">
        <v>1.1100000000000001</v>
      </c>
      <c r="H394" s="45">
        <v>0.121</v>
      </c>
    </row>
    <row r="395" spans="1:8" x14ac:dyDescent="0.35">
      <c r="A395" s="45">
        <v>364</v>
      </c>
      <c r="B395" s="45">
        <v>8</v>
      </c>
      <c r="C395" s="45" t="s">
        <v>38</v>
      </c>
      <c r="D395" s="45">
        <v>2.2000000000000002</v>
      </c>
      <c r="E395" s="45">
        <v>891</v>
      </c>
      <c r="F395" s="45">
        <v>30</v>
      </c>
      <c r="G395" s="45">
        <v>1</v>
      </c>
      <c r="H395" s="45">
        <v>0.121</v>
      </c>
    </row>
    <row r="396" spans="1:8" x14ac:dyDescent="0.35">
      <c r="A396" s="45">
        <v>363</v>
      </c>
      <c r="B396" s="45">
        <v>11</v>
      </c>
      <c r="C396" s="45" t="s">
        <v>23</v>
      </c>
      <c r="D396" s="45">
        <v>11.8</v>
      </c>
      <c r="E396" s="45">
        <v>892</v>
      </c>
      <c r="F396" s="45">
        <v>30</v>
      </c>
      <c r="G396" s="45">
        <v>0.89</v>
      </c>
      <c r="H396" s="45">
        <v>0.121</v>
      </c>
    </row>
    <row r="397" spans="1:8" x14ac:dyDescent="0.35">
      <c r="A397" s="45">
        <v>362</v>
      </c>
      <c r="B397" s="45">
        <v>11</v>
      </c>
      <c r="C397" s="45" t="s">
        <v>23</v>
      </c>
      <c r="D397" s="45">
        <v>11.8</v>
      </c>
      <c r="E397" s="45">
        <v>889</v>
      </c>
      <c r="F397" s="45">
        <v>30</v>
      </c>
      <c r="G397" s="45">
        <v>1.22</v>
      </c>
      <c r="H397" s="45">
        <v>0.121</v>
      </c>
    </row>
    <row r="398" spans="1:8" x14ac:dyDescent="0.35">
      <c r="A398" s="45">
        <v>361</v>
      </c>
      <c r="B398" s="45">
        <v>6</v>
      </c>
      <c r="C398" s="45" t="s">
        <v>14</v>
      </c>
      <c r="D398" s="45">
        <v>1.1000000000000001</v>
      </c>
      <c r="E398" s="45">
        <v>889</v>
      </c>
      <c r="F398" s="45">
        <v>30</v>
      </c>
      <c r="G398" s="45">
        <v>1.22</v>
      </c>
      <c r="H398" s="45">
        <v>0.121</v>
      </c>
    </row>
    <row r="399" spans="1:8" x14ac:dyDescent="0.35">
      <c r="A399" s="45">
        <v>360</v>
      </c>
      <c r="B399" s="45">
        <v>9</v>
      </c>
      <c r="C399" s="45" t="s">
        <v>44</v>
      </c>
      <c r="D399" s="45">
        <v>1.5</v>
      </c>
      <c r="E399" s="45">
        <v>890</v>
      </c>
      <c r="F399" s="45">
        <v>30</v>
      </c>
      <c r="G399" s="45">
        <v>1.1100000000000001</v>
      </c>
      <c r="H399" s="45">
        <v>0.121</v>
      </c>
    </row>
    <row r="400" spans="1:8" x14ac:dyDescent="0.35">
      <c r="A400" s="45">
        <v>359</v>
      </c>
      <c r="B400" s="45">
        <v>11</v>
      </c>
      <c r="C400" s="45" t="s">
        <v>23</v>
      </c>
      <c r="D400" s="45">
        <v>6.1</v>
      </c>
      <c r="E400" s="45">
        <v>889</v>
      </c>
      <c r="F400" s="45">
        <v>30</v>
      </c>
      <c r="G400" s="45">
        <v>1.22</v>
      </c>
      <c r="H400" s="45">
        <v>0.121</v>
      </c>
    </row>
    <row r="401" spans="1:8" x14ac:dyDescent="0.35">
      <c r="A401" s="45">
        <v>358</v>
      </c>
      <c r="B401" s="45">
        <v>7</v>
      </c>
      <c r="C401" s="45" t="s">
        <v>17</v>
      </c>
      <c r="D401" s="45">
        <v>2.9</v>
      </c>
      <c r="E401" s="45">
        <v>891</v>
      </c>
      <c r="F401" s="45">
        <v>30</v>
      </c>
      <c r="G401" s="45">
        <v>1</v>
      </c>
      <c r="H401" s="45">
        <v>0.121</v>
      </c>
    </row>
    <row r="402" spans="1:8" x14ac:dyDescent="0.35">
      <c r="A402" s="45">
        <v>357</v>
      </c>
      <c r="B402" s="45">
        <v>11</v>
      </c>
      <c r="C402" s="45" t="s">
        <v>23</v>
      </c>
      <c r="D402" s="45">
        <v>14.6</v>
      </c>
      <c r="E402" s="45">
        <v>889</v>
      </c>
      <c r="F402" s="45">
        <v>30</v>
      </c>
      <c r="G402" s="45">
        <v>1.22</v>
      </c>
      <c r="H402" s="45">
        <v>0.121</v>
      </c>
    </row>
    <row r="403" spans="1:8" x14ac:dyDescent="0.35">
      <c r="A403" s="45">
        <v>356</v>
      </c>
      <c r="B403" s="45">
        <v>1</v>
      </c>
      <c r="C403" s="45" t="s">
        <v>41</v>
      </c>
      <c r="D403" s="45">
        <v>2.8</v>
      </c>
      <c r="E403" s="45">
        <v>889</v>
      </c>
      <c r="F403" s="45">
        <v>30</v>
      </c>
      <c r="G403" s="45">
        <v>1.22</v>
      </c>
      <c r="H403" s="45">
        <v>0.121</v>
      </c>
    </row>
    <row r="404" spans="1:8" x14ac:dyDescent="0.35">
      <c r="A404" s="45">
        <v>355</v>
      </c>
      <c r="B404" s="45">
        <v>4</v>
      </c>
      <c r="C404" s="45" t="s">
        <v>28</v>
      </c>
      <c r="D404" s="45">
        <v>2.2999999999999998</v>
      </c>
      <c r="E404" s="45">
        <v>889</v>
      </c>
      <c r="F404" s="45">
        <v>30</v>
      </c>
      <c r="G404" s="45">
        <v>1.22</v>
      </c>
      <c r="H404" s="45">
        <v>0.121</v>
      </c>
    </row>
    <row r="405" spans="1:8" x14ac:dyDescent="0.35">
      <c r="A405" s="45">
        <v>354</v>
      </c>
      <c r="B405" s="45">
        <v>8</v>
      </c>
      <c r="C405" s="45" t="s">
        <v>38</v>
      </c>
      <c r="D405" s="45">
        <v>2.2000000000000002</v>
      </c>
      <c r="E405" s="45">
        <v>888</v>
      </c>
      <c r="F405" s="45">
        <v>30</v>
      </c>
      <c r="G405" s="45">
        <v>1.33</v>
      </c>
      <c r="H405" s="45">
        <v>0.121</v>
      </c>
    </row>
    <row r="406" spans="1:8" x14ac:dyDescent="0.35">
      <c r="A406" s="45">
        <v>353</v>
      </c>
      <c r="B406" s="45">
        <v>5</v>
      </c>
      <c r="C406" s="45" t="s">
        <v>35</v>
      </c>
      <c r="D406" s="45">
        <v>1.1000000000000001</v>
      </c>
      <c r="E406" s="45">
        <v>889</v>
      </c>
      <c r="F406" s="45">
        <v>30</v>
      </c>
      <c r="G406" s="45">
        <v>1.22</v>
      </c>
      <c r="H406" s="45">
        <v>0.121</v>
      </c>
    </row>
    <row r="407" spans="1:8" x14ac:dyDescent="0.35">
      <c r="A407" s="45">
        <v>352</v>
      </c>
      <c r="B407" s="45">
        <v>11</v>
      </c>
      <c r="C407" s="45" t="s">
        <v>23</v>
      </c>
      <c r="D407" s="45">
        <v>15</v>
      </c>
      <c r="E407" s="45">
        <v>891</v>
      </c>
      <c r="F407" s="45">
        <v>30</v>
      </c>
      <c r="G407" s="45">
        <v>1</v>
      </c>
      <c r="H407" s="45">
        <v>0.121</v>
      </c>
    </row>
    <row r="408" spans="1:8" x14ac:dyDescent="0.35">
      <c r="A408" s="45">
        <v>351</v>
      </c>
      <c r="B408" s="45">
        <v>2</v>
      </c>
      <c r="C408" s="45" t="s">
        <v>74</v>
      </c>
      <c r="D408" s="45">
        <v>1.3</v>
      </c>
      <c r="E408" s="45">
        <v>890</v>
      </c>
      <c r="F408" s="45">
        <v>30</v>
      </c>
      <c r="G408" s="45">
        <v>1.1100000000000001</v>
      </c>
      <c r="H408" s="45">
        <v>0.121</v>
      </c>
    </row>
    <row r="409" spans="1:8" x14ac:dyDescent="0.35">
      <c r="A409" s="44" t="s">
        <v>1626</v>
      </c>
      <c r="B409" s="44" t="s">
        <v>1627</v>
      </c>
      <c r="C409" s="44" t="s">
        <v>4</v>
      </c>
      <c r="D409" s="44" t="s">
        <v>5</v>
      </c>
      <c r="E409" s="44" t="s">
        <v>6</v>
      </c>
      <c r="F409" s="44" t="s">
        <v>1629</v>
      </c>
      <c r="G409" s="44" t="s">
        <v>1628</v>
      </c>
      <c r="H409" s="44" t="s">
        <v>10</v>
      </c>
    </row>
    <row r="410" spans="1:8" x14ac:dyDescent="0.35">
      <c r="A410" s="45">
        <v>350</v>
      </c>
      <c r="B410" s="45">
        <v>11</v>
      </c>
      <c r="C410" s="45" t="s">
        <v>23</v>
      </c>
      <c r="D410" s="45">
        <v>15.2</v>
      </c>
      <c r="E410" s="45">
        <v>739</v>
      </c>
      <c r="F410" s="45">
        <v>25</v>
      </c>
      <c r="G410" s="45">
        <v>1.47</v>
      </c>
      <c r="H410" s="45">
        <v>0.10100000000000001</v>
      </c>
    </row>
    <row r="411" spans="1:8" x14ac:dyDescent="0.35">
      <c r="A411" s="45">
        <v>349</v>
      </c>
      <c r="B411" s="45">
        <v>1</v>
      </c>
      <c r="C411" s="45" t="s">
        <v>41</v>
      </c>
      <c r="D411" s="45">
        <v>2.8</v>
      </c>
      <c r="E411" s="45">
        <v>739</v>
      </c>
      <c r="F411" s="45">
        <v>25</v>
      </c>
      <c r="G411" s="45">
        <v>1.47</v>
      </c>
      <c r="H411" s="45">
        <v>0.10100000000000001</v>
      </c>
    </row>
    <row r="412" spans="1:8" x14ac:dyDescent="0.35">
      <c r="A412" s="45">
        <v>348</v>
      </c>
      <c r="B412" s="45">
        <v>4</v>
      </c>
      <c r="C412" s="45" t="s">
        <v>28</v>
      </c>
      <c r="D412" s="45">
        <v>2.2999999999999998</v>
      </c>
      <c r="E412" s="45">
        <v>740</v>
      </c>
      <c r="F412" s="45">
        <v>25</v>
      </c>
      <c r="G412" s="45">
        <v>1.33</v>
      </c>
      <c r="H412" s="45">
        <v>0.10100000000000001</v>
      </c>
    </row>
    <row r="413" spans="1:8" x14ac:dyDescent="0.35">
      <c r="A413" s="45">
        <v>347</v>
      </c>
      <c r="B413" s="45">
        <v>6</v>
      </c>
      <c r="C413" s="45" t="s">
        <v>14</v>
      </c>
      <c r="D413" s="45">
        <v>1.3</v>
      </c>
      <c r="E413" s="45">
        <v>741</v>
      </c>
      <c r="F413" s="45">
        <v>25</v>
      </c>
      <c r="G413" s="45">
        <v>1.2</v>
      </c>
      <c r="H413" s="45">
        <v>0.10100000000000001</v>
      </c>
    </row>
    <row r="414" spans="1:8" x14ac:dyDescent="0.35">
      <c r="A414" s="45">
        <v>346</v>
      </c>
      <c r="B414" s="45">
        <v>11</v>
      </c>
      <c r="C414" s="45" t="s">
        <v>23</v>
      </c>
      <c r="D414" s="45">
        <v>15</v>
      </c>
      <c r="E414" s="45">
        <v>738</v>
      </c>
      <c r="F414" s="45">
        <v>25</v>
      </c>
      <c r="G414" s="45">
        <v>1.6</v>
      </c>
      <c r="H414" s="45">
        <v>0.1</v>
      </c>
    </row>
    <row r="415" spans="1:8" x14ac:dyDescent="0.35">
      <c r="A415" s="45">
        <v>345</v>
      </c>
      <c r="B415" s="45">
        <v>11</v>
      </c>
      <c r="C415" s="45" t="s">
        <v>23</v>
      </c>
      <c r="D415" s="45">
        <v>58.3</v>
      </c>
      <c r="E415" s="45">
        <v>739</v>
      </c>
      <c r="F415" s="45">
        <v>25</v>
      </c>
      <c r="G415" s="45">
        <v>1.47</v>
      </c>
      <c r="H415" s="45">
        <v>0.10100000000000001</v>
      </c>
    </row>
    <row r="416" spans="1:8" x14ac:dyDescent="0.35">
      <c r="A416" s="45">
        <v>344</v>
      </c>
      <c r="B416" s="45">
        <v>3</v>
      </c>
      <c r="C416" s="45" t="s">
        <v>20</v>
      </c>
      <c r="D416" s="45">
        <v>1.3</v>
      </c>
      <c r="E416" s="45">
        <v>740</v>
      </c>
      <c r="F416" s="45">
        <v>25</v>
      </c>
      <c r="G416" s="45">
        <v>1.33</v>
      </c>
      <c r="H416" s="45">
        <v>0.1</v>
      </c>
    </row>
    <row r="417" spans="1:8" x14ac:dyDescent="0.35">
      <c r="A417" s="45">
        <v>343</v>
      </c>
      <c r="B417" s="45">
        <v>6</v>
      </c>
      <c r="C417" s="45" t="s">
        <v>14</v>
      </c>
      <c r="D417" s="45">
        <v>1.3</v>
      </c>
      <c r="E417" s="45">
        <v>740</v>
      </c>
      <c r="F417" s="45">
        <v>25</v>
      </c>
      <c r="G417" s="45">
        <v>1.33</v>
      </c>
      <c r="H417" s="45">
        <v>0.10100000000000001</v>
      </c>
    </row>
    <row r="418" spans="1:8" x14ac:dyDescent="0.35">
      <c r="A418" s="45">
        <v>342</v>
      </c>
      <c r="B418" s="45">
        <v>11</v>
      </c>
      <c r="C418" s="45" t="s">
        <v>23</v>
      </c>
      <c r="D418" s="45">
        <v>15</v>
      </c>
      <c r="E418" s="45">
        <v>739</v>
      </c>
      <c r="F418" s="45">
        <v>25</v>
      </c>
      <c r="G418" s="45">
        <v>1.47</v>
      </c>
      <c r="H418" s="45">
        <v>0.10100000000000001</v>
      </c>
    </row>
    <row r="419" spans="1:8" x14ac:dyDescent="0.35">
      <c r="A419" s="45">
        <v>341</v>
      </c>
      <c r="B419" s="45">
        <v>11</v>
      </c>
      <c r="C419" s="45" t="s">
        <v>23</v>
      </c>
      <c r="D419" s="45">
        <v>11.5</v>
      </c>
      <c r="E419" s="45">
        <v>741</v>
      </c>
      <c r="F419" s="45">
        <v>25</v>
      </c>
      <c r="G419" s="45">
        <v>1.2</v>
      </c>
      <c r="H419" s="45">
        <v>0.10100000000000001</v>
      </c>
    </row>
    <row r="420" spans="1:8" x14ac:dyDescent="0.35">
      <c r="A420" s="45">
        <v>340</v>
      </c>
      <c r="B420" s="45">
        <v>2</v>
      </c>
      <c r="C420" s="45" t="s">
        <v>74</v>
      </c>
      <c r="D420" s="45">
        <v>1.2</v>
      </c>
      <c r="E420" s="45">
        <v>738</v>
      </c>
      <c r="F420" s="45">
        <v>25</v>
      </c>
      <c r="G420" s="45">
        <v>1.6</v>
      </c>
      <c r="H420" s="45">
        <v>0.1</v>
      </c>
    </row>
    <row r="421" spans="1:8" x14ac:dyDescent="0.35">
      <c r="A421" s="45">
        <v>339</v>
      </c>
      <c r="B421" s="45">
        <v>9</v>
      </c>
      <c r="C421" s="45" t="s">
        <v>44</v>
      </c>
      <c r="D421" s="45">
        <v>1.3</v>
      </c>
      <c r="E421" s="45">
        <v>737</v>
      </c>
      <c r="F421" s="45">
        <v>25</v>
      </c>
      <c r="G421" s="45">
        <v>1.73</v>
      </c>
      <c r="H421" s="45">
        <v>0.1</v>
      </c>
    </row>
    <row r="422" spans="1:8" x14ac:dyDescent="0.35">
      <c r="A422" s="45">
        <v>338</v>
      </c>
      <c r="B422" s="45">
        <v>4</v>
      </c>
      <c r="C422" s="45" t="s">
        <v>28</v>
      </c>
      <c r="D422" s="45">
        <v>2.2999999999999998</v>
      </c>
      <c r="E422" s="45">
        <v>739</v>
      </c>
      <c r="F422" s="45">
        <v>25</v>
      </c>
      <c r="G422" s="45">
        <v>1.47</v>
      </c>
      <c r="H422" s="45">
        <v>0.10100000000000001</v>
      </c>
    </row>
    <row r="423" spans="1:8" x14ac:dyDescent="0.35">
      <c r="A423" s="45">
        <v>337</v>
      </c>
      <c r="B423" s="45">
        <v>11</v>
      </c>
      <c r="C423" s="45" t="s">
        <v>23</v>
      </c>
      <c r="D423" s="45">
        <v>19.7</v>
      </c>
      <c r="E423" s="45">
        <v>739</v>
      </c>
      <c r="F423" s="45">
        <v>25</v>
      </c>
      <c r="G423" s="45">
        <v>1.47</v>
      </c>
      <c r="H423" s="45">
        <v>0.10100000000000001</v>
      </c>
    </row>
    <row r="424" spans="1:8" x14ac:dyDescent="0.35">
      <c r="A424" s="45">
        <v>336</v>
      </c>
      <c r="B424" s="45">
        <v>8</v>
      </c>
      <c r="C424" s="45" t="s">
        <v>38</v>
      </c>
      <c r="D424" s="45">
        <v>2.2000000000000002</v>
      </c>
      <c r="E424" s="45">
        <v>739</v>
      </c>
      <c r="F424" s="45">
        <v>25</v>
      </c>
      <c r="G424" s="45">
        <v>1.47</v>
      </c>
      <c r="H424" s="45">
        <v>0.10100000000000001</v>
      </c>
    </row>
    <row r="425" spans="1:8" x14ac:dyDescent="0.35">
      <c r="A425" s="45">
        <v>335</v>
      </c>
      <c r="B425" s="45">
        <v>7</v>
      </c>
      <c r="C425" s="45" t="s">
        <v>17</v>
      </c>
      <c r="D425" s="45">
        <v>3</v>
      </c>
      <c r="E425" s="45">
        <v>739</v>
      </c>
      <c r="F425" s="45">
        <v>25</v>
      </c>
      <c r="G425" s="45">
        <v>1.47</v>
      </c>
      <c r="H425" s="45">
        <v>0.10100000000000001</v>
      </c>
    </row>
    <row r="426" spans="1:8" x14ac:dyDescent="0.35">
      <c r="A426" s="45">
        <v>334</v>
      </c>
      <c r="B426" s="45">
        <v>11</v>
      </c>
      <c r="C426" s="45" t="s">
        <v>23</v>
      </c>
      <c r="D426" s="45">
        <v>15.1</v>
      </c>
      <c r="E426" s="45">
        <v>738</v>
      </c>
      <c r="F426" s="45">
        <v>25</v>
      </c>
      <c r="G426" s="45">
        <v>1.6</v>
      </c>
      <c r="H426" s="45">
        <v>0.1</v>
      </c>
    </row>
    <row r="427" spans="1:8" x14ac:dyDescent="0.35">
      <c r="A427" s="45">
        <v>333</v>
      </c>
      <c r="B427" s="45">
        <v>11</v>
      </c>
      <c r="C427" s="45" t="s">
        <v>23</v>
      </c>
      <c r="D427" s="45">
        <v>26.3</v>
      </c>
      <c r="E427" s="45">
        <v>739</v>
      </c>
      <c r="F427" s="45">
        <v>25</v>
      </c>
      <c r="G427" s="45">
        <v>1.47</v>
      </c>
      <c r="H427" s="45">
        <v>0.10100000000000001</v>
      </c>
    </row>
    <row r="428" spans="1:8" x14ac:dyDescent="0.35">
      <c r="A428" s="45">
        <v>332</v>
      </c>
      <c r="B428" s="45">
        <v>11</v>
      </c>
      <c r="C428" s="45" t="s">
        <v>23</v>
      </c>
      <c r="D428" s="45">
        <v>19.7</v>
      </c>
      <c r="E428" s="45">
        <v>739</v>
      </c>
      <c r="F428" s="45">
        <v>25</v>
      </c>
      <c r="G428" s="45">
        <v>1.47</v>
      </c>
      <c r="H428" s="45">
        <v>0.10100000000000001</v>
      </c>
    </row>
    <row r="429" spans="1:8" x14ac:dyDescent="0.35">
      <c r="A429" s="45">
        <v>331</v>
      </c>
      <c r="B429" s="45">
        <v>9</v>
      </c>
      <c r="C429" s="45" t="s">
        <v>44</v>
      </c>
      <c r="D429" s="45">
        <v>1.3</v>
      </c>
      <c r="E429" s="45">
        <v>739</v>
      </c>
      <c r="F429" s="45">
        <v>25</v>
      </c>
      <c r="G429" s="45">
        <v>1.47</v>
      </c>
      <c r="H429" s="45">
        <v>0.10100000000000001</v>
      </c>
    </row>
    <row r="430" spans="1:8" x14ac:dyDescent="0.35">
      <c r="A430" s="45">
        <v>330</v>
      </c>
      <c r="B430" s="45">
        <v>5</v>
      </c>
      <c r="C430" s="45" t="s">
        <v>35</v>
      </c>
      <c r="D430" s="45">
        <v>1.2</v>
      </c>
      <c r="E430" s="45">
        <v>739</v>
      </c>
      <c r="F430" s="45">
        <v>25</v>
      </c>
      <c r="G430" s="45">
        <v>1.47</v>
      </c>
      <c r="H430" s="45">
        <v>0.10100000000000001</v>
      </c>
    </row>
    <row r="431" spans="1:8" x14ac:dyDescent="0.35">
      <c r="A431" s="45">
        <v>329</v>
      </c>
      <c r="B431" s="45">
        <v>11</v>
      </c>
      <c r="C431" s="45" t="s">
        <v>23</v>
      </c>
      <c r="D431" s="45">
        <v>14.8</v>
      </c>
      <c r="E431" s="45">
        <v>738</v>
      </c>
      <c r="F431" s="45">
        <v>25</v>
      </c>
      <c r="G431" s="45">
        <v>1.6</v>
      </c>
      <c r="H431" s="45">
        <v>0.1</v>
      </c>
    </row>
    <row r="432" spans="1:8" x14ac:dyDescent="0.35">
      <c r="A432" s="45">
        <v>328</v>
      </c>
      <c r="B432" s="45">
        <v>1</v>
      </c>
      <c r="C432" s="45" t="s">
        <v>41</v>
      </c>
      <c r="D432" s="45">
        <v>2.9</v>
      </c>
      <c r="E432" s="45">
        <v>739</v>
      </c>
      <c r="F432" s="45">
        <v>25</v>
      </c>
      <c r="G432" s="45">
        <v>1.47</v>
      </c>
      <c r="H432" s="45">
        <v>0.10100000000000001</v>
      </c>
    </row>
    <row r="433" spans="1:8" x14ac:dyDescent="0.35">
      <c r="A433" s="45">
        <v>327</v>
      </c>
      <c r="B433" s="45">
        <v>11</v>
      </c>
      <c r="C433" s="45" t="s">
        <v>23</v>
      </c>
      <c r="D433" s="45">
        <v>21.6</v>
      </c>
      <c r="E433" s="45">
        <v>741</v>
      </c>
      <c r="F433" s="45">
        <v>25</v>
      </c>
      <c r="G433" s="45">
        <v>1.2</v>
      </c>
      <c r="H433" s="45">
        <v>0.10100000000000001</v>
      </c>
    </row>
    <row r="434" spans="1:8" x14ac:dyDescent="0.35">
      <c r="A434" s="45">
        <v>326</v>
      </c>
      <c r="B434" s="45">
        <v>9</v>
      </c>
      <c r="C434" s="45" t="s">
        <v>44</v>
      </c>
      <c r="D434" s="45">
        <v>1.4</v>
      </c>
      <c r="E434" s="45">
        <v>739</v>
      </c>
      <c r="F434" s="45">
        <v>25</v>
      </c>
      <c r="G434" s="45">
        <v>1.47</v>
      </c>
      <c r="H434" s="45">
        <v>0.10100000000000001</v>
      </c>
    </row>
    <row r="435" spans="1:8" x14ac:dyDescent="0.35">
      <c r="A435" s="45">
        <v>325</v>
      </c>
      <c r="B435" s="45">
        <v>11</v>
      </c>
      <c r="C435" s="45" t="s">
        <v>23</v>
      </c>
      <c r="D435" s="45">
        <v>14.6</v>
      </c>
      <c r="E435" s="45">
        <v>739</v>
      </c>
      <c r="F435" s="45">
        <v>25</v>
      </c>
      <c r="G435" s="45">
        <v>1.47</v>
      </c>
      <c r="H435" s="45">
        <v>0.10100000000000001</v>
      </c>
    </row>
    <row r="436" spans="1:8" x14ac:dyDescent="0.35">
      <c r="A436" s="45">
        <v>324</v>
      </c>
      <c r="B436" s="45">
        <v>3</v>
      </c>
      <c r="C436" s="45" t="s">
        <v>20</v>
      </c>
      <c r="D436" s="45">
        <v>3.5</v>
      </c>
      <c r="E436" s="45">
        <v>736</v>
      </c>
      <c r="F436" s="45">
        <v>25</v>
      </c>
      <c r="G436" s="45">
        <v>1.87</v>
      </c>
      <c r="H436" s="45">
        <v>0.1</v>
      </c>
    </row>
    <row r="437" spans="1:8" x14ac:dyDescent="0.35">
      <c r="A437" s="45">
        <v>323</v>
      </c>
      <c r="B437" s="45">
        <v>2</v>
      </c>
      <c r="C437" s="45" t="s">
        <v>74</v>
      </c>
      <c r="D437" s="45">
        <v>1.3</v>
      </c>
      <c r="E437" s="45">
        <v>740</v>
      </c>
      <c r="F437" s="45">
        <v>25</v>
      </c>
      <c r="G437" s="45">
        <v>1.33</v>
      </c>
      <c r="H437" s="45">
        <v>0.10100000000000001</v>
      </c>
    </row>
    <row r="438" spans="1:8" x14ac:dyDescent="0.35">
      <c r="A438" s="45">
        <v>322</v>
      </c>
      <c r="B438" s="45">
        <v>9</v>
      </c>
      <c r="C438" s="45" t="s">
        <v>44</v>
      </c>
      <c r="D438" s="45">
        <v>1.3</v>
      </c>
      <c r="E438" s="45">
        <v>739</v>
      </c>
      <c r="F438" s="45">
        <v>25</v>
      </c>
      <c r="G438" s="45">
        <v>1.47</v>
      </c>
      <c r="H438" s="45">
        <v>0.10100000000000001</v>
      </c>
    </row>
    <row r="439" spans="1:8" x14ac:dyDescent="0.35">
      <c r="A439" s="45">
        <v>321</v>
      </c>
      <c r="B439" s="45">
        <v>11</v>
      </c>
      <c r="C439" s="45" t="s">
        <v>23</v>
      </c>
      <c r="D439" s="45">
        <v>14.8</v>
      </c>
      <c r="E439" s="45">
        <v>738</v>
      </c>
      <c r="F439" s="45">
        <v>25</v>
      </c>
      <c r="G439" s="45">
        <v>1.6</v>
      </c>
      <c r="H439" s="45">
        <v>0.1</v>
      </c>
    </row>
    <row r="440" spans="1:8" x14ac:dyDescent="0.35">
      <c r="A440" s="45">
        <v>320</v>
      </c>
      <c r="B440" s="45">
        <v>11</v>
      </c>
      <c r="C440" s="45" t="s">
        <v>23</v>
      </c>
      <c r="D440" s="45">
        <v>19.100000000000001</v>
      </c>
      <c r="E440" s="45">
        <v>738</v>
      </c>
      <c r="F440" s="45">
        <v>25</v>
      </c>
      <c r="G440" s="45">
        <v>1.6</v>
      </c>
      <c r="H440" s="45">
        <v>0.1</v>
      </c>
    </row>
    <row r="441" spans="1:8" x14ac:dyDescent="0.35">
      <c r="A441" s="45">
        <v>319</v>
      </c>
      <c r="B441" s="45">
        <v>7</v>
      </c>
      <c r="C441" s="45" t="s">
        <v>17</v>
      </c>
      <c r="D441" s="45">
        <v>2.9</v>
      </c>
      <c r="E441" s="45">
        <v>738</v>
      </c>
      <c r="F441" s="45">
        <v>25</v>
      </c>
      <c r="G441" s="45">
        <v>1.6</v>
      </c>
      <c r="H441" s="45">
        <v>0.1</v>
      </c>
    </row>
    <row r="442" spans="1:8" x14ac:dyDescent="0.35">
      <c r="A442" s="45">
        <v>318</v>
      </c>
      <c r="B442" s="45">
        <v>5</v>
      </c>
      <c r="C442" s="45" t="s">
        <v>35</v>
      </c>
      <c r="D442" s="45">
        <v>1.2</v>
      </c>
      <c r="E442" s="45">
        <v>739</v>
      </c>
      <c r="F442" s="45">
        <v>25</v>
      </c>
      <c r="G442" s="45">
        <v>1.47</v>
      </c>
      <c r="H442" s="45">
        <v>0.10100000000000001</v>
      </c>
    </row>
    <row r="443" spans="1:8" x14ac:dyDescent="0.35">
      <c r="A443" s="45">
        <v>317</v>
      </c>
      <c r="B443" s="45">
        <v>8</v>
      </c>
      <c r="C443" s="45" t="s">
        <v>38</v>
      </c>
      <c r="D443" s="45">
        <v>2.2000000000000002</v>
      </c>
      <c r="E443" s="45">
        <v>738</v>
      </c>
      <c r="F443" s="45">
        <v>25</v>
      </c>
      <c r="G443" s="45">
        <v>1.6</v>
      </c>
      <c r="H443" s="45">
        <v>0.1</v>
      </c>
    </row>
    <row r="444" spans="1:8" x14ac:dyDescent="0.35">
      <c r="A444" s="45">
        <v>316</v>
      </c>
      <c r="B444" s="45">
        <v>11</v>
      </c>
      <c r="C444" s="45" t="s">
        <v>23</v>
      </c>
      <c r="D444" s="45">
        <v>12.1</v>
      </c>
      <c r="E444" s="45">
        <v>738</v>
      </c>
      <c r="F444" s="45">
        <v>25</v>
      </c>
      <c r="G444" s="45">
        <v>1.6</v>
      </c>
      <c r="H444" s="45">
        <v>0.1</v>
      </c>
    </row>
    <row r="445" spans="1:8" x14ac:dyDescent="0.35">
      <c r="A445" s="45">
        <v>315</v>
      </c>
      <c r="B445" s="45">
        <v>1</v>
      </c>
      <c r="C445" s="45" t="s">
        <v>41</v>
      </c>
      <c r="D445" s="45">
        <v>2.9</v>
      </c>
      <c r="E445" s="45">
        <v>739</v>
      </c>
      <c r="F445" s="45">
        <v>25</v>
      </c>
      <c r="G445" s="45">
        <v>1.47</v>
      </c>
      <c r="H445" s="45">
        <v>0.10100000000000001</v>
      </c>
    </row>
    <row r="446" spans="1:8" x14ac:dyDescent="0.35">
      <c r="A446" s="45">
        <v>314</v>
      </c>
      <c r="B446" s="45">
        <v>3</v>
      </c>
      <c r="C446" s="45" t="s">
        <v>20</v>
      </c>
      <c r="D446" s="45">
        <v>1.4</v>
      </c>
      <c r="E446" s="45">
        <v>738</v>
      </c>
      <c r="F446" s="45">
        <v>25</v>
      </c>
      <c r="G446" s="45">
        <v>1.6</v>
      </c>
      <c r="H446" s="45">
        <v>0.1</v>
      </c>
    </row>
    <row r="447" spans="1:8" x14ac:dyDescent="0.35">
      <c r="A447" s="45">
        <v>313</v>
      </c>
      <c r="B447" s="45">
        <v>9</v>
      </c>
      <c r="C447" s="45" t="s">
        <v>44</v>
      </c>
      <c r="D447" s="45">
        <v>1.1000000000000001</v>
      </c>
      <c r="E447" s="45">
        <v>738</v>
      </c>
      <c r="F447" s="45">
        <v>25</v>
      </c>
      <c r="G447" s="45">
        <v>1.6</v>
      </c>
      <c r="H447" s="45">
        <v>0.1</v>
      </c>
    </row>
    <row r="448" spans="1:8" x14ac:dyDescent="0.35">
      <c r="A448" s="45">
        <v>312</v>
      </c>
      <c r="B448" s="45">
        <v>11</v>
      </c>
      <c r="C448" s="45" t="s">
        <v>23</v>
      </c>
      <c r="D448" s="45">
        <v>12.6</v>
      </c>
      <c r="E448" s="45">
        <v>739</v>
      </c>
      <c r="F448" s="45">
        <v>25</v>
      </c>
      <c r="G448" s="45">
        <v>1.47</v>
      </c>
      <c r="H448" s="45">
        <v>0.10100000000000001</v>
      </c>
    </row>
    <row r="449" spans="1:8" x14ac:dyDescent="0.35">
      <c r="A449" s="45">
        <v>311</v>
      </c>
      <c r="B449" s="45">
        <v>7</v>
      </c>
      <c r="C449" s="45" t="s">
        <v>17</v>
      </c>
      <c r="D449" s="45">
        <v>2.9</v>
      </c>
      <c r="E449" s="45">
        <v>740</v>
      </c>
      <c r="F449" s="45">
        <v>25</v>
      </c>
      <c r="G449" s="45">
        <v>1.33</v>
      </c>
      <c r="H449" s="45">
        <v>0.10100000000000001</v>
      </c>
    </row>
    <row r="450" spans="1:8" x14ac:dyDescent="0.35">
      <c r="A450" s="45">
        <v>310</v>
      </c>
      <c r="B450" s="45">
        <v>6</v>
      </c>
      <c r="C450" s="45" t="s">
        <v>14</v>
      </c>
      <c r="D450" s="45">
        <v>1.3</v>
      </c>
      <c r="E450" s="45">
        <v>738</v>
      </c>
      <c r="F450" s="45">
        <v>25</v>
      </c>
      <c r="G450" s="45">
        <v>1.6</v>
      </c>
      <c r="H450" s="45">
        <v>0.1</v>
      </c>
    </row>
    <row r="451" spans="1:8" x14ac:dyDescent="0.35">
      <c r="A451" s="45">
        <v>309</v>
      </c>
      <c r="B451" s="45">
        <v>8</v>
      </c>
      <c r="C451" s="45" t="s">
        <v>38</v>
      </c>
      <c r="D451" s="45">
        <v>2.4</v>
      </c>
      <c r="E451" s="45">
        <v>738</v>
      </c>
      <c r="F451" s="45">
        <v>25</v>
      </c>
      <c r="G451" s="45">
        <v>1.6</v>
      </c>
      <c r="H451" s="45">
        <v>0.1</v>
      </c>
    </row>
    <row r="452" spans="1:8" x14ac:dyDescent="0.35">
      <c r="A452" s="45">
        <v>308</v>
      </c>
      <c r="B452" s="45">
        <v>11</v>
      </c>
      <c r="C452" s="45" t="s">
        <v>23</v>
      </c>
      <c r="D452" s="45">
        <v>19</v>
      </c>
      <c r="E452" s="45">
        <v>738</v>
      </c>
      <c r="F452" s="45">
        <v>25</v>
      </c>
      <c r="G452" s="45">
        <v>1.6</v>
      </c>
      <c r="H452" s="45">
        <v>0.1</v>
      </c>
    </row>
    <row r="453" spans="1:8" x14ac:dyDescent="0.35">
      <c r="A453" s="45">
        <v>307</v>
      </c>
      <c r="B453" s="45">
        <v>1</v>
      </c>
      <c r="C453" s="45" t="s">
        <v>41</v>
      </c>
      <c r="D453" s="45">
        <v>2.8</v>
      </c>
      <c r="E453" s="45">
        <v>738</v>
      </c>
      <c r="F453" s="45">
        <v>25</v>
      </c>
      <c r="G453" s="45">
        <v>1.6</v>
      </c>
      <c r="H453" s="45">
        <v>0.1</v>
      </c>
    </row>
    <row r="454" spans="1:8" x14ac:dyDescent="0.35">
      <c r="A454" s="45">
        <v>306</v>
      </c>
      <c r="B454" s="45">
        <v>9</v>
      </c>
      <c r="C454" s="45" t="s">
        <v>44</v>
      </c>
      <c r="D454" s="45">
        <v>1.1000000000000001</v>
      </c>
      <c r="E454" s="45">
        <v>738</v>
      </c>
      <c r="F454" s="45">
        <v>25</v>
      </c>
      <c r="G454" s="45">
        <v>1.6</v>
      </c>
      <c r="H454" s="45">
        <v>0.1</v>
      </c>
    </row>
    <row r="455" spans="1:8" x14ac:dyDescent="0.35">
      <c r="A455" s="45">
        <v>305</v>
      </c>
      <c r="B455" s="45">
        <v>11</v>
      </c>
      <c r="C455" s="45" t="s">
        <v>23</v>
      </c>
      <c r="D455" s="45">
        <v>18.8</v>
      </c>
      <c r="E455" s="45">
        <v>737</v>
      </c>
      <c r="F455" s="45">
        <v>25</v>
      </c>
      <c r="G455" s="45">
        <v>1.73</v>
      </c>
      <c r="H455" s="45">
        <v>0.1</v>
      </c>
    </row>
    <row r="456" spans="1:8" x14ac:dyDescent="0.35">
      <c r="A456" s="45">
        <v>304</v>
      </c>
      <c r="B456" s="45">
        <v>3</v>
      </c>
      <c r="C456" s="45" t="s">
        <v>20</v>
      </c>
      <c r="D456" s="45">
        <v>4.7</v>
      </c>
      <c r="E456" s="45">
        <v>739</v>
      </c>
      <c r="F456" s="45">
        <v>25</v>
      </c>
      <c r="G456" s="45">
        <v>1.47</v>
      </c>
      <c r="H456" s="45">
        <v>0.10100000000000001</v>
      </c>
    </row>
    <row r="457" spans="1:8" x14ac:dyDescent="0.35">
      <c r="A457" s="45">
        <v>303</v>
      </c>
      <c r="B457" s="45">
        <v>11</v>
      </c>
      <c r="C457" s="45" t="s">
        <v>23</v>
      </c>
      <c r="D457" s="45">
        <v>21.5</v>
      </c>
      <c r="E457" s="45">
        <v>739</v>
      </c>
      <c r="F457" s="45">
        <v>25</v>
      </c>
      <c r="G457" s="45">
        <v>1.47</v>
      </c>
      <c r="H457" s="45">
        <v>0.10100000000000001</v>
      </c>
    </row>
    <row r="458" spans="1:8" x14ac:dyDescent="0.35">
      <c r="A458" s="45">
        <v>302</v>
      </c>
      <c r="B458" s="45">
        <v>7</v>
      </c>
      <c r="C458" s="45" t="s">
        <v>17</v>
      </c>
      <c r="D458" s="45">
        <v>2.9</v>
      </c>
      <c r="E458" s="45">
        <v>739</v>
      </c>
      <c r="F458" s="45">
        <v>25</v>
      </c>
      <c r="G458" s="45">
        <v>1.47</v>
      </c>
      <c r="H458" s="45">
        <v>0.10100000000000001</v>
      </c>
    </row>
    <row r="459" spans="1:8" x14ac:dyDescent="0.35">
      <c r="A459" s="45">
        <v>301</v>
      </c>
      <c r="B459" s="45">
        <v>3</v>
      </c>
      <c r="C459" s="45" t="s">
        <v>20</v>
      </c>
      <c r="D459" s="45">
        <v>1.1000000000000001</v>
      </c>
      <c r="E459" s="45">
        <v>738</v>
      </c>
      <c r="F459" s="45">
        <v>25</v>
      </c>
      <c r="G459" s="45">
        <v>1.6</v>
      </c>
      <c r="H459" s="45">
        <v>0.1</v>
      </c>
    </row>
    <row r="460" spans="1:8" x14ac:dyDescent="0.35">
      <c r="A460" s="44" t="s">
        <v>1626</v>
      </c>
      <c r="B460" s="44" t="s">
        <v>1627</v>
      </c>
      <c r="C460" s="44" t="s">
        <v>4</v>
      </c>
      <c r="D460" s="44" t="s">
        <v>5</v>
      </c>
      <c r="E460" s="44" t="s">
        <v>6</v>
      </c>
      <c r="F460" s="44" t="s">
        <v>1629</v>
      </c>
      <c r="G460" s="44" t="s">
        <v>1628</v>
      </c>
      <c r="H460" s="44" t="s">
        <v>10</v>
      </c>
    </row>
    <row r="461" spans="1:8" x14ac:dyDescent="0.35">
      <c r="A461" s="45">
        <v>300</v>
      </c>
      <c r="B461" s="45">
        <v>9</v>
      </c>
      <c r="C461" s="45" t="s">
        <v>44</v>
      </c>
      <c r="D461" s="45">
        <v>0.9</v>
      </c>
      <c r="E461" s="45">
        <v>589</v>
      </c>
      <c r="F461" s="45">
        <v>20</v>
      </c>
      <c r="G461" s="45">
        <v>1.83</v>
      </c>
      <c r="H461" s="45">
        <v>0.08</v>
      </c>
    </row>
    <row r="462" spans="1:8" x14ac:dyDescent="0.35">
      <c r="A462" s="45">
        <v>299</v>
      </c>
      <c r="B462" s="45">
        <v>2</v>
      </c>
      <c r="C462" s="45" t="s">
        <v>74</v>
      </c>
      <c r="D462" s="45">
        <v>1.4</v>
      </c>
      <c r="E462" s="45">
        <v>587</v>
      </c>
      <c r="F462" s="45">
        <v>20</v>
      </c>
      <c r="G462" s="45">
        <v>2.17</v>
      </c>
      <c r="H462" s="45">
        <v>0.08</v>
      </c>
    </row>
    <row r="463" spans="1:8" x14ac:dyDescent="0.35">
      <c r="A463" s="45">
        <v>298</v>
      </c>
      <c r="B463" s="45">
        <v>1</v>
      </c>
      <c r="C463" s="45" t="s">
        <v>41</v>
      </c>
      <c r="D463" s="45">
        <v>3</v>
      </c>
      <c r="E463" s="45">
        <v>589</v>
      </c>
      <c r="F463" s="45">
        <v>20</v>
      </c>
      <c r="G463" s="45">
        <v>1.83</v>
      </c>
      <c r="H463" s="45">
        <v>0.08</v>
      </c>
    </row>
    <row r="464" spans="1:8" x14ac:dyDescent="0.35">
      <c r="A464" s="45">
        <v>297</v>
      </c>
      <c r="B464" s="45">
        <v>7</v>
      </c>
      <c r="C464" s="45" t="s">
        <v>17</v>
      </c>
      <c r="D464" s="45">
        <v>2.9</v>
      </c>
      <c r="E464" s="45">
        <v>588</v>
      </c>
      <c r="F464" s="45">
        <v>20</v>
      </c>
      <c r="G464" s="45">
        <v>2</v>
      </c>
      <c r="H464" s="45">
        <v>0.08</v>
      </c>
    </row>
    <row r="465" spans="1:8" x14ac:dyDescent="0.35">
      <c r="A465" s="45">
        <v>296</v>
      </c>
      <c r="B465" s="45">
        <v>8</v>
      </c>
      <c r="C465" s="45" t="s">
        <v>38</v>
      </c>
      <c r="D465" s="45">
        <v>2.8</v>
      </c>
      <c r="E465" s="45">
        <v>589</v>
      </c>
      <c r="F465" s="45">
        <v>20</v>
      </c>
      <c r="G465" s="45">
        <v>1.83</v>
      </c>
      <c r="H465" s="45">
        <v>0.08</v>
      </c>
    </row>
    <row r="466" spans="1:8" x14ac:dyDescent="0.35">
      <c r="A466" s="45">
        <v>295</v>
      </c>
      <c r="B466" s="45">
        <v>11</v>
      </c>
      <c r="C466" s="45" t="s">
        <v>23</v>
      </c>
      <c r="D466" s="45">
        <v>22.3</v>
      </c>
      <c r="E466" s="45">
        <v>588</v>
      </c>
      <c r="F466" s="45">
        <v>20</v>
      </c>
      <c r="G466" s="45">
        <v>2</v>
      </c>
      <c r="H466" s="45">
        <v>0.08</v>
      </c>
    </row>
    <row r="467" spans="1:8" x14ac:dyDescent="0.35">
      <c r="A467" s="45">
        <v>294</v>
      </c>
      <c r="B467" s="45">
        <v>1</v>
      </c>
      <c r="C467" s="45" t="s">
        <v>41</v>
      </c>
      <c r="D467" s="45">
        <v>2.9</v>
      </c>
      <c r="E467" s="45">
        <v>588</v>
      </c>
      <c r="F467" s="45">
        <v>20</v>
      </c>
      <c r="G467" s="45">
        <v>2</v>
      </c>
      <c r="H467" s="45">
        <v>0.08</v>
      </c>
    </row>
    <row r="468" spans="1:8" x14ac:dyDescent="0.35">
      <c r="A468" s="45">
        <v>293</v>
      </c>
      <c r="B468" s="45">
        <v>2</v>
      </c>
      <c r="C468" s="45" t="s">
        <v>74</v>
      </c>
      <c r="D468" s="45">
        <v>1.3</v>
      </c>
      <c r="E468" s="45">
        <v>588</v>
      </c>
      <c r="F468" s="45">
        <v>20</v>
      </c>
      <c r="G468" s="45">
        <v>2</v>
      </c>
      <c r="H468" s="45">
        <v>0.08</v>
      </c>
    </row>
    <row r="469" spans="1:8" x14ac:dyDescent="0.35">
      <c r="A469" s="45">
        <v>292</v>
      </c>
      <c r="B469" s="45">
        <v>8</v>
      </c>
      <c r="C469" s="45" t="s">
        <v>38</v>
      </c>
      <c r="D469" s="45">
        <v>2.7</v>
      </c>
      <c r="E469" s="45">
        <v>589</v>
      </c>
      <c r="F469" s="45">
        <v>20</v>
      </c>
      <c r="G469" s="45">
        <v>1.83</v>
      </c>
      <c r="H469" s="45">
        <v>0.08</v>
      </c>
    </row>
    <row r="470" spans="1:8" x14ac:dyDescent="0.35">
      <c r="A470" s="45">
        <v>291</v>
      </c>
      <c r="B470" s="45">
        <v>9</v>
      </c>
      <c r="C470" s="45" t="s">
        <v>44</v>
      </c>
      <c r="D470" s="45">
        <v>1.1000000000000001</v>
      </c>
      <c r="E470" s="45">
        <v>588</v>
      </c>
      <c r="F470" s="45">
        <v>20</v>
      </c>
      <c r="G470" s="45">
        <v>2</v>
      </c>
      <c r="H470" s="45">
        <v>0.08</v>
      </c>
    </row>
    <row r="471" spans="1:8" x14ac:dyDescent="0.35">
      <c r="A471" s="45">
        <v>290</v>
      </c>
      <c r="B471" s="45">
        <v>11</v>
      </c>
      <c r="C471" s="45" t="s">
        <v>23</v>
      </c>
      <c r="D471" s="45">
        <v>10.3</v>
      </c>
      <c r="E471" s="45">
        <v>586</v>
      </c>
      <c r="F471" s="45">
        <v>20</v>
      </c>
      <c r="G471" s="45">
        <v>2.33</v>
      </c>
      <c r="H471" s="45">
        <v>0.08</v>
      </c>
    </row>
    <row r="472" spans="1:8" x14ac:dyDescent="0.35">
      <c r="A472" s="45">
        <v>289</v>
      </c>
      <c r="B472" s="45">
        <v>1</v>
      </c>
      <c r="C472" s="45" t="s">
        <v>41</v>
      </c>
      <c r="D472" s="45">
        <v>3.1</v>
      </c>
      <c r="E472" s="45">
        <v>586</v>
      </c>
      <c r="F472" s="45">
        <v>20</v>
      </c>
      <c r="G472" s="45">
        <v>2.33</v>
      </c>
      <c r="H472" s="45">
        <v>0.08</v>
      </c>
    </row>
    <row r="473" spans="1:8" x14ac:dyDescent="0.35">
      <c r="A473" s="45">
        <v>288</v>
      </c>
      <c r="B473" s="45">
        <v>11</v>
      </c>
      <c r="C473" s="45" t="s">
        <v>23</v>
      </c>
      <c r="D473" s="45">
        <v>20.100000000000001</v>
      </c>
      <c r="E473" s="45">
        <v>588</v>
      </c>
      <c r="F473" s="45">
        <v>20</v>
      </c>
      <c r="G473" s="45">
        <v>2</v>
      </c>
      <c r="H473" s="45">
        <v>0.08</v>
      </c>
    </row>
    <row r="474" spans="1:8" x14ac:dyDescent="0.35">
      <c r="A474" s="45">
        <v>287</v>
      </c>
      <c r="B474" s="45">
        <v>2</v>
      </c>
      <c r="C474" s="45" t="s">
        <v>74</v>
      </c>
      <c r="D474" s="45">
        <v>1.3</v>
      </c>
      <c r="E474" s="45">
        <v>589</v>
      </c>
      <c r="F474" s="45">
        <v>20</v>
      </c>
      <c r="G474" s="45">
        <v>1.83</v>
      </c>
      <c r="H474" s="45">
        <v>0.08</v>
      </c>
    </row>
    <row r="475" spans="1:8" x14ac:dyDescent="0.35">
      <c r="A475" s="45">
        <v>286</v>
      </c>
      <c r="B475" s="45">
        <v>3</v>
      </c>
      <c r="C475" s="45" t="s">
        <v>20</v>
      </c>
      <c r="D475" s="45">
        <v>3.6</v>
      </c>
      <c r="E475" s="45">
        <v>586</v>
      </c>
      <c r="F475" s="45">
        <v>20</v>
      </c>
      <c r="G475" s="45">
        <v>2.33</v>
      </c>
      <c r="H475" s="45">
        <v>0.08</v>
      </c>
    </row>
    <row r="476" spans="1:8" x14ac:dyDescent="0.35">
      <c r="A476" s="45">
        <v>285</v>
      </c>
      <c r="B476" s="45">
        <v>11</v>
      </c>
      <c r="C476" s="45" t="s">
        <v>23</v>
      </c>
      <c r="D476" s="45">
        <v>26.9</v>
      </c>
      <c r="E476" s="45">
        <v>590</v>
      </c>
      <c r="F476" s="45">
        <v>20</v>
      </c>
      <c r="G476" s="45">
        <v>1.67</v>
      </c>
      <c r="H476" s="45">
        <v>0.08</v>
      </c>
    </row>
    <row r="477" spans="1:8" x14ac:dyDescent="0.35">
      <c r="A477" s="45">
        <v>284</v>
      </c>
      <c r="B477" s="45">
        <v>11</v>
      </c>
      <c r="C477" s="45" t="s">
        <v>23</v>
      </c>
      <c r="D477" s="45">
        <v>22.2</v>
      </c>
      <c r="E477" s="45">
        <v>588</v>
      </c>
      <c r="F477" s="45">
        <v>20</v>
      </c>
      <c r="G477" s="45">
        <v>2</v>
      </c>
      <c r="H477" s="45">
        <v>0.08</v>
      </c>
    </row>
    <row r="478" spans="1:8" x14ac:dyDescent="0.35">
      <c r="A478" s="45">
        <v>283</v>
      </c>
      <c r="B478" s="45">
        <v>6</v>
      </c>
      <c r="C478" s="45" t="s">
        <v>14</v>
      </c>
      <c r="D478" s="45">
        <v>1.4</v>
      </c>
      <c r="E478" s="45">
        <v>589</v>
      </c>
      <c r="F478" s="45">
        <v>20</v>
      </c>
      <c r="G478" s="45">
        <v>1.83</v>
      </c>
      <c r="H478" s="45">
        <v>0.08</v>
      </c>
    </row>
    <row r="479" spans="1:8" x14ac:dyDescent="0.35">
      <c r="A479" s="45">
        <v>282</v>
      </c>
      <c r="B479" s="45">
        <v>8</v>
      </c>
      <c r="C479" s="45" t="s">
        <v>38</v>
      </c>
      <c r="D479" s="45">
        <v>2.6</v>
      </c>
      <c r="E479" s="45">
        <v>589</v>
      </c>
      <c r="F479" s="45">
        <v>20</v>
      </c>
      <c r="G479" s="45">
        <v>1.83</v>
      </c>
      <c r="H479" s="45">
        <v>0.08</v>
      </c>
    </row>
    <row r="480" spans="1:8" x14ac:dyDescent="0.35">
      <c r="A480" s="45">
        <v>281</v>
      </c>
      <c r="B480" s="45">
        <v>9</v>
      </c>
      <c r="C480" s="45" t="s">
        <v>44</v>
      </c>
      <c r="D480" s="45">
        <v>1.1000000000000001</v>
      </c>
      <c r="E480" s="45">
        <v>590</v>
      </c>
      <c r="F480" s="45">
        <v>20</v>
      </c>
      <c r="G480" s="45">
        <v>1.67</v>
      </c>
      <c r="H480" s="45">
        <v>0.08</v>
      </c>
    </row>
    <row r="481" spans="1:8" x14ac:dyDescent="0.35">
      <c r="A481" s="45">
        <v>280</v>
      </c>
      <c r="B481" s="45">
        <v>7</v>
      </c>
      <c r="C481" s="45" t="s">
        <v>17</v>
      </c>
      <c r="D481" s="45">
        <v>3</v>
      </c>
      <c r="E481" s="45">
        <v>587</v>
      </c>
      <c r="F481" s="45">
        <v>20</v>
      </c>
      <c r="G481" s="45">
        <v>2.17</v>
      </c>
      <c r="H481" s="45">
        <v>0.08</v>
      </c>
    </row>
    <row r="482" spans="1:8" x14ac:dyDescent="0.35">
      <c r="A482" s="45">
        <v>279</v>
      </c>
      <c r="B482" s="45">
        <v>11</v>
      </c>
      <c r="C482" s="45" t="s">
        <v>23</v>
      </c>
      <c r="D482" s="45">
        <v>16.5</v>
      </c>
      <c r="E482" s="45">
        <v>586</v>
      </c>
      <c r="F482" s="45">
        <v>20</v>
      </c>
      <c r="G482" s="45">
        <v>2.33</v>
      </c>
      <c r="H482" s="45">
        <v>0.08</v>
      </c>
    </row>
    <row r="483" spans="1:8" x14ac:dyDescent="0.35">
      <c r="A483" s="45">
        <v>278</v>
      </c>
      <c r="B483" s="45">
        <v>1</v>
      </c>
      <c r="C483" s="45" t="s">
        <v>41</v>
      </c>
      <c r="D483" s="45">
        <v>2.9</v>
      </c>
      <c r="E483" s="45">
        <v>588</v>
      </c>
      <c r="F483" s="45">
        <v>20</v>
      </c>
      <c r="G483" s="45">
        <v>2</v>
      </c>
      <c r="H483" s="45">
        <v>0.08</v>
      </c>
    </row>
    <row r="484" spans="1:8" x14ac:dyDescent="0.35">
      <c r="A484" s="45">
        <v>277</v>
      </c>
      <c r="B484" s="45">
        <v>11</v>
      </c>
      <c r="C484" s="45" t="s">
        <v>23</v>
      </c>
      <c r="D484" s="45">
        <v>19.100000000000001</v>
      </c>
      <c r="E484" s="45">
        <v>589</v>
      </c>
      <c r="F484" s="45">
        <v>20</v>
      </c>
      <c r="G484" s="45">
        <v>1.83</v>
      </c>
      <c r="H484" s="45">
        <v>0.08</v>
      </c>
    </row>
    <row r="485" spans="1:8" x14ac:dyDescent="0.35">
      <c r="A485" s="45">
        <v>276</v>
      </c>
      <c r="B485" s="45">
        <v>11</v>
      </c>
      <c r="C485" s="45" t="s">
        <v>23</v>
      </c>
      <c r="D485" s="45">
        <v>15.7</v>
      </c>
      <c r="E485" s="45">
        <v>587</v>
      </c>
      <c r="F485" s="45">
        <v>20</v>
      </c>
      <c r="G485" s="45">
        <v>2.17</v>
      </c>
      <c r="H485" s="45">
        <v>0.08</v>
      </c>
    </row>
    <row r="486" spans="1:8" x14ac:dyDescent="0.35">
      <c r="A486" s="45">
        <v>275</v>
      </c>
      <c r="B486" s="45">
        <v>6</v>
      </c>
      <c r="C486" s="45" t="s">
        <v>14</v>
      </c>
      <c r="D486" s="45">
        <v>1.3</v>
      </c>
      <c r="E486" s="45">
        <v>588</v>
      </c>
      <c r="F486" s="45">
        <v>20</v>
      </c>
      <c r="G486" s="45">
        <v>2</v>
      </c>
      <c r="H486" s="45">
        <v>0.08</v>
      </c>
    </row>
    <row r="487" spans="1:8" x14ac:dyDescent="0.35">
      <c r="A487" s="45">
        <v>274</v>
      </c>
      <c r="B487" s="45">
        <v>11</v>
      </c>
      <c r="C487" s="45" t="s">
        <v>23</v>
      </c>
      <c r="D487" s="45">
        <v>9.6999999999999993</v>
      </c>
      <c r="E487" s="45">
        <v>588</v>
      </c>
      <c r="F487" s="45">
        <v>20</v>
      </c>
      <c r="G487" s="45">
        <v>2</v>
      </c>
      <c r="H487" s="45">
        <v>0.08</v>
      </c>
    </row>
    <row r="488" spans="1:8" x14ac:dyDescent="0.35">
      <c r="A488" s="45">
        <v>273</v>
      </c>
      <c r="B488" s="45">
        <v>8</v>
      </c>
      <c r="C488" s="45" t="s">
        <v>38</v>
      </c>
      <c r="D488" s="45">
        <v>2.2000000000000002</v>
      </c>
      <c r="E488" s="45">
        <v>588</v>
      </c>
      <c r="F488" s="45">
        <v>20</v>
      </c>
      <c r="G488" s="45">
        <v>2</v>
      </c>
      <c r="H488" s="45">
        <v>0.08</v>
      </c>
    </row>
    <row r="489" spans="1:8" x14ac:dyDescent="0.35">
      <c r="A489" s="45">
        <v>272</v>
      </c>
      <c r="B489" s="45">
        <v>4</v>
      </c>
      <c r="C489" s="45" t="s">
        <v>28</v>
      </c>
      <c r="D489" s="45">
        <v>2.4</v>
      </c>
      <c r="E489" s="45">
        <v>586</v>
      </c>
      <c r="F489" s="45">
        <v>20</v>
      </c>
      <c r="G489" s="45">
        <v>2.33</v>
      </c>
      <c r="H489" s="45">
        <v>0.08</v>
      </c>
    </row>
    <row r="490" spans="1:8" x14ac:dyDescent="0.35">
      <c r="A490" s="45">
        <v>271</v>
      </c>
      <c r="B490" s="45">
        <v>3</v>
      </c>
      <c r="C490" s="45" t="s">
        <v>20</v>
      </c>
      <c r="D490" s="45">
        <v>4.4000000000000004</v>
      </c>
      <c r="E490" s="45">
        <v>586</v>
      </c>
      <c r="F490" s="45">
        <v>20</v>
      </c>
      <c r="G490" s="45">
        <v>2.33</v>
      </c>
      <c r="H490" s="45">
        <v>0.08</v>
      </c>
    </row>
    <row r="491" spans="1:8" x14ac:dyDescent="0.35">
      <c r="A491" s="45">
        <v>270</v>
      </c>
      <c r="B491" s="45">
        <v>11</v>
      </c>
      <c r="C491" s="45" t="s">
        <v>23</v>
      </c>
      <c r="D491" s="45">
        <v>16.7</v>
      </c>
      <c r="E491" s="45">
        <v>588</v>
      </c>
      <c r="F491" s="45">
        <v>20</v>
      </c>
      <c r="G491" s="45">
        <v>2</v>
      </c>
      <c r="H491" s="45">
        <v>0.08</v>
      </c>
    </row>
    <row r="492" spans="1:8" x14ac:dyDescent="0.35">
      <c r="A492" s="45">
        <v>269</v>
      </c>
      <c r="B492" s="45">
        <v>7</v>
      </c>
      <c r="C492" s="45" t="s">
        <v>17</v>
      </c>
      <c r="D492" s="45">
        <v>2.8</v>
      </c>
      <c r="E492" s="45">
        <v>586</v>
      </c>
      <c r="F492" s="45">
        <v>20</v>
      </c>
      <c r="G492" s="45">
        <v>2.33</v>
      </c>
      <c r="H492" s="45">
        <v>0.08</v>
      </c>
    </row>
    <row r="493" spans="1:8" x14ac:dyDescent="0.35">
      <c r="A493" s="45">
        <v>268</v>
      </c>
      <c r="B493" s="45">
        <v>11</v>
      </c>
      <c r="C493" s="45" t="s">
        <v>23</v>
      </c>
      <c r="D493" s="45">
        <v>15.9</v>
      </c>
      <c r="E493" s="45">
        <v>586</v>
      </c>
      <c r="F493" s="45">
        <v>20</v>
      </c>
      <c r="G493" s="45">
        <v>2.33</v>
      </c>
      <c r="H493" s="45">
        <v>0.08</v>
      </c>
    </row>
    <row r="494" spans="1:8" x14ac:dyDescent="0.35">
      <c r="A494" s="45">
        <v>267</v>
      </c>
      <c r="B494" s="45">
        <v>1</v>
      </c>
      <c r="C494" s="45" t="s">
        <v>41</v>
      </c>
      <c r="D494" s="45">
        <v>2.8</v>
      </c>
      <c r="E494" s="45">
        <v>586</v>
      </c>
      <c r="F494" s="45">
        <v>20</v>
      </c>
      <c r="G494" s="45">
        <v>2.33</v>
      </c>
      <c r="H494" s="45">
        <v>0.08</v>
      </c>
    </row>
    <row r="495" spans="1:8" x14ac:dyDescent="0.35">
      <c r="A495" s="45">
        <v>266</v>
      </c>
      <c r="B495" s="45">
        <v>11</v>
      </c>
      <c r="C495" s="45" t="s">
        <v>23</v>
      </c>
      <c r="D495" s="45">
        <v>16.3</v>
      </c>
      <c r="E495" s="45">
        <v>586</v>
      </c>
      <c r="F495" s="45">
        <v>20</v>
      </c>
      <c r="G495" s="45">
        <v>2.33</v>
      </c>
      <c r="H495" s="45">
        <v>0.08</v>
      </c>
    </row>
    <row r="496" spans="1:8" x14ac:dyDescent="0.35">
      <c r="A496" s="45">
        <v>265</v>
      </c>
      <c r="B496" s="45">
        <v>4</v>
      </c>
      <c r="C496" s="45" t="s">
        <v>28</v>
      </c>
      <c r="D496" s="45">
        <v>2.4</v>
      </c>
      <c r="E496" s="45">
        <v>587</v>
      </c>
      <c r="F496" s="45">
        <v>20</v>
      </c>
      <c r="G496" s="45">
        <v>2.17</v>
      </c>
      <c r="H496" s="45">
        <v>0.08</v>
      </c>
    </row>
    <row r="497" spans="1:8" x14ac:dyDescent="0.35">
      <c r="A497" s="45">
        <v>264</v>
      </c>
      <c r="B497" s="45">
        <v>11</v>
      </c>
      <c r="C497" s="45" t="s">
        <v>23</v>
      </c>
      <c r="D497" s="45">
        <v>15.9</v>
      </c>
      <c r="E497" s="45">
        <v>588</v>
      </c>
      <c r="F497" s="45">
        <v>20</v>
      </c>
      <c r="G497" s="45">
        <v>2</v>
      </c>
      <c r="H497" s="45">
        <v>0.08</v>
      </c>
    </row>
    <row r="498" spans="1:8" x14ac:dyDescent="0.35">
      <c r="A498" s="45">
        <v>263</v>
      </c>
      <c r="B498" s="45">
        <v>9</v>
      </c>
      <c r="C498" s="45" t="s">
        <v>44</v>
      </c>
      <c r="D498" s="45">
        <v>1.1000000000000001</v>
      </c>
      <c r="E498" s="45">
        <v>588</v>
      </c>
      <c r="F498" s="45">
        <v>20</v>
      </c>
      <c r="G498" s="45">
        <v>2</v>
      </c>
      <c r="H498" s="45">
        <v>0.08</v>
      </c>
    </row>
    <row r="499" spans="1:8" x14ac:dyDescent="0.35">
      <c r="A499" s="45">
        <v>262</v>
      </c>
      <c r="B499" s="45">
        <v>11</v>
      </c>
      <c r="C499" s="45" t="s">
        <v>23</v>
      </c>
      <c r="D499" s="45">
        <v>19.600000000000001</v>
      </c>
      <c r="E499" s="45">
        <v>588</v>
      </c>
      <c r="F499" s="45">
        <v>20</v>
      </c>
      <c r="G499" s="45">
        <v>2</v>
      </c>
      <c r="H499" s="45">
        <v>0.08</v>
      </c>
    </row>
    <row r="500" spans="1:8" x14ac:dyDescent="0.35">
      <c r="A500" s="45">
        <v>261</v>
      </c>
      <c r="B500" s="45">
        <v>3</v>
      </c>
      <c r="C500" s="45" t="s">
        <v>20</v>
      </c>
      <c r="D500" s="45">
        <v>2.7</v>
      </c>
      <c r="E500" s="45">
        <v>588</v>
      </c>
      <c r="F500" s="45">
        <v>20</v>
      </c>
      <c r="G500" s="45">
        <v>2</v>
      </c>
      <c r="H500" s="45">
        <v>0.08</v>
      </c>
    </row>
    <row r="501" spans="1:8" x14ac:dyDescent="0.35">
      <c r="A501" s="45">
        <v>260</v>
      </c>
      <c r="B501" s="45">
        <v>11</v>
      </c>
      <c r="C501" s="45" t="s">
        <v>23</v>
      </c>
      <c r="D501" s="45">
        <v>7.3</v>
      </c>
      <c r="E501" s="45">
        <v>588</v>
      </c>
      <c r="F501" s="45">
        <v>20</v>
      </c>
      <c r="G501" s="45">
        <v>2</v>
      </c>
      <c r="H501" s="45">
        <v>0.08</v>
      </c>
    </row>
    <row r="502" spans="1:8" x14ac:dyDescent="0.35">
      <c r="A502" s="45">
        <v>259</v>
      </c>
      <c r="B502" s="45">
        <v>1</v>
      </c>
      <c r="C502" s="45" t="s">
        <v>41</v>
      </c>
      <c r="D502" s="45">
        <v>3.3</v>
      </c>
      <c r="E502" s="45">
        <v>588</v>
      </c>
      <c r="F502" s="45">
        <v>20</v>
      </c>
      <c r="G502" s="45">
        <v>2</v>
      </c>
      <c r="H502" s="45">
        <v>0.08</v>
      </c>
    </row>
    <row r="503" spans="1:8" x14ac:dyDescent="0.35">
      <c r="A503" s="45">
        <v>258</v>
      </c>
      <c r="B503" s="45">
        <v>5</v>
      </c>
      <c r="C503" s="45" t="s">
        <v>35</v>
      </c>
      <c r="D503" s="45">
        <v>1.2</v>
      </c>
      <c r="E503" s="45">
        <v>588</v>
      </c>
      <c r="F503" s="45">
        <v>20</v>
      </c>
      <c r="G503" s="45">
        <v>2</v>
      </c>
      <c r="H503" s="45">
        <v>0.08</v>
      </c>
    </row>
    <row r="504" spans="1:8" x14ac:dyDescent="0.35">
      <c r="A504" s="45">
        <v>257</v>
      </c>
      <c r="B504" s="45">
        <v>4</v>
      </c>
      <c r="C504" s="45" t="s">
        <v>28</v>
      </c>
      <c r="D504" s="45">
        <v>2.2999999999999998</v>
      </c>
      <c r="E504" s="45">
        <v>586</v>
      </c>
      <c r="F504" s="45">
        <v>20</v>
      </c>
      <c r="G504" s="45">
        <v>2.33</v>
      </c>
      <c r="H504" s="45">
        <v>0.08</v>
      </c>
    </row>
    <row r="505" spans="1:8" x14ac:dyDescent="0.35">
      <c r="A505" s="45">
        <v>256</v>
      </c>
      <c r="B505" s="45">
        <v>11</v>
      </c>
      <c r="C505" s="45" t="s">
        <v>23</v>
      </c>
      <c r="D505" s="45">
        <v>9.5</v>
      </c>
      <c r="E505" s="45">
        <v>585</v>
      </c>
      <c r="F505" s="45">
        <v>20</v>
      </c>
      <c r="G505" s="45">
        <v>2.5</v>
      </c>
      <c r="H505" s="45">
        <v>0.08</v>
      </c>
    </row>
    <row r="506" spans="1:8" x14ac:dyDescent="0.35">
      <c r="A506" s="45">
        <v>255</v>
      </c>
      <c r="B506" s="45">
        <v>11</v>
      </c>
      <c r="C506" s="45" t="s">
        <v>23</v>
      </c>
      <c r="D506" s="45">
        <v>22.2</v>
      </c>
      <c r="E506" s="45">
        <v>586</v>
      </c>
      <c r="F506" s="45">
        <v>20</v>
      </c>
      <c r="G506" s="45">
        <v>2.33</v>
      </c>
      <c r="H506" s="45">
        <v>0.08</v>
      </c>
    </row>
    <row r="507" spans="1:8" x14ac:dyDescent="0.35">
      <c r="A507" s="45">
        <v>254</v>
      </c>
      <c r="B507" s="45">
        <v>1</v>
      </c>
      <c r="C507" s="45" t="s">
        <v>41</v>
      </c>
      <c r="D507" s="45">
        <v>3.1</v>
      </c>
      <c r="E507" s="45">
        <v>586</v>
      </c>
      <c r="F507" s="45">
        <v>20</v>
      </c>
      <c r="G507" s="45">
        <v>2.33</v>
      </c>
      <c r="H507" s="45">
        <v>0.08</v>
      </c>
    </row>
    <row r="508" spans="1:8" x14ac:dyDescent="0.35">
      <c r="A508" s="45">
        <v>253</v>
      </c>
      <c r="B508" s="45">
        <v>6</v>
      </c>
      <c r="C508" s="45" t="s">
        <v>14</v>
      </c>
      <c r="D508" s="45">
        <v>1.2</v>
      </c>
      <c r="E508" s="45">
        <v>588</v>
      </c>
      <c r="F508" s="45">
        <v>20</v>
      </c>
      <c r="G508" s="45">
        <v>2</v>
      </c>
      <c r="H508" s="45">
        <v>0.08</v>
      </c>
    </row>
    <row r="509" spans="1:8" x14ac:dyDescent="0.35">
      <c r="A509" s="45">
        <v>252</v>
      </c>
      <c r="B509" s="45">
        <v>5</v>
      </c>
      <c r="C509" s="45" t="s">
        <v>35</v>
      </c>
      <c r="D509" s="45">
        <v>1.2</v>
      </c>
      <c r="E509" s="45">
        <v>587</v>
      </c>
      <c r="F509" s="45">
        <v>20</v>
      </c>
      <c r="G509" s="45">
        <v>2.17</v>
      </c>
      <c r="H509" s="45">
        <v>0.08</v>
      </c>
    </row>
    <row r="510" spans="1:8" x14ac:dyDescent="0.35">
      <c r="A510" s="45">
        <v>251</v>
      </c>
      <c r="B510" s="45">
        <v>11</v>
      </c>
      <c r="C510" s="45" t="s">
        <v>23</v>
      </c>
      <c r="D510" s="45">
        <v>15.6</v>
      </c>
      <c r="E510" s="45">
        <v>584</v>
      </c>
      <c r="F510" s="45">
        <v>20</v>
      </c>
      <c r="G510" s="45">
        <v>2.67</v>
      </c>
      <c r="H510" s="45">
        <v>7.9000000000000001E-2</v>
      </c>
    </row>
    <row r="511" spans="1:8" x14ac:dyDescent="0.35">
      <c r="A511" s="44" t="s">
        <v>1626</v>
      </c>
      <c r="B511" s="44" t="s">
        <v>1627</v>
      </c>
      <c r="C511" s="44" t="s">
        <v>4</v>
      </c>
      <c r="D511" s="44" t="s">
        <v>5</v>
      </c>
      <c r="E511" s="44" t="s">
        <v>6</v>
      </c>
      <c r="F511" s="44" t="s">
        <v>1629</v>
      </c>
      <c r="G511" s="44" t="s">
        <v>1628</v>
      </c>
      <c r="H511" s="44" t="s">
        <v>10</v>
      </c>
    </row>
    <row r="512" spans="1:8" x14ac:dyDescent="0.35">
      <c r="A512" s="45">
        <v>250</v>
      </c>
      <c r="B512" s="45">
        <v>2</v>
      </c>
      <c r="C512" s="45" t="s">
        <v>74</v>
      </c>
      <c r="D512" s="45">
        <v>1.3</v>
      </c>
      <c r="E512" s="45">
        <v>1187</v>
      </c>
      <c r="F512" s="45">
        <v>40</v>
      </c>
      <c r="G512" s="45">
        <v>1.08</v>
      </c>
      <c r="H512" s="45">
        <v>0.161</v>
      </c>
    </row>
    <row r="513" spans="1:8" x14ac:dyDescent="0.35">
      <c r="A513" s="45">
        <v>249</v>
      </c>
      <c r="B513" s="45">
        <v>12</v>
      </c>
      <c r="C513" s="45" t="s">
        <v>59</v>
      </c>
      <c r="D513" s="45">
        <v>0</v>
      </c>
      <c r="E513" s="45">
        <v>1190</v>
      </c>
      <c r="F513" s="45">
        <v>40</v>
      </c>
      <c r="G513" s="45">
        <v>0.83</v>
      </c>
      <c r="H513" s="45">
        <v>0.16200000000000001</v>
      </c>
    </row>
    <row r="514" spans="1:8" x14ac:dyDescent="0.35">
      <c r="A514" s="45">
        <v>248</v>
      </c>
      <c r="B514" s="45">
        <v>11</v>
      </c>
      <c r="C514" s="45" t="s">
        <v>23</v>
      </c>
      <c r="D514" s="45">
        <v>19.8</v>
      </c>
      <c r="E514" s="45">
        <v>1191</v>
      </c>
      <c r="F514" s="45">
        <v>40</v>
      </c>
      <c r="G514" s="45">
        <v>0.75</v>
      </c>
      <c r="H514" s="45">
        <v>0.16200000000000001</v>
      </c>
    </row>
    <row r="515" spans="1:8" x14ac:dyDescent="0.35">
      <c r="A515" s="45">
        <v>247</v>
      </c>
      <c r="B515" s="45">
        <v>12</v>
      </c>
      <c r="C515" s="45" t="s">
        <v>59</v>
      </c>
      <c r="D515" s="45">
        <v>0</v>
      </c>
      <c r="E515" s="45">
        <v>1190</v>
      </c>
      <c r="F515" s="45">
        <v>40</v>
      </c>
      <c r="G515" s="45">
        <v>0.83</v>
      </c>
      <c r="H515" s="45">
        <v>0.16200000000000001</v>
      </c>
    </row>
    <row r="516" spans="1:8" x14ac:dyDescent="0.35">
      <c r="A516" s="45">
        <v>246</v>
      </c>
      <c r="B516" s="45">
        <v>2</v>
      </c>
      <c r="C516" s="45" t="s">
        <v>74</v>
      </c>
      <c r="D516" s="45">
        <v>1.2</v>
      </c>
      <c r="E516" s="45">
        <v>1188</v>
      </c>
      <c r="F516" s="45">
        <v>40</v>
      </c>
      <c r="G516" s="45">
        <v>1</v>
      </c>
      <c r="H516" s="45">
        <v>0.16200000000000001</v>
      </c>
    </row>
    <row r="517" spans="1:8" x14ac:dyDescent="0.35">
      <c r="A517" s="45">
        <v>245</v>
      </c>
      <c r="B517" s="45">
        <v>4</v>
      </c>
      <c r="C517" s="45" t="s">
        <v>28</v>
      </c>
      <c r="D517" s="45">
        <v>2.2000000000000002</v>
      </c>
      <c r="E517" s="45">
        <v>1186</v>
      </c>
      <c r="F517" s="45">
        <v>40</v>
      </c>
      <c r="G517" s="45">
        <v>1.17</v>
      </c>
      <c r="H517" s="45">
        <v>0.161</v>
      </c>
    </row>
    <row r="518" spans="1:8" x14ac:dyDescent="0.35">
      <c r="A518" s="45">
        <v>244</v>
      </c>
      <c r="B518" s="45">
        <v>6</v>
      </c>
      <c r="C518" s="45" t="s">
        <v>14</v>
      </c>
      <c r="D518" s="45">
        <v>1.1000000000000001</v>
      </c>
      <c r="E518" s="45">
        <v>1188</v>
      </c>
      <c r="F518" s="45">
        <v>40</v>
      </c>
      <c r="G518" s="45">
        <v>1</v>
      </c>
      <c r="H518" s="45">
        <v>0.16200000000000001</v>
      </c>
    </row>
    <row r="519" spans="1:8" x14ac:dyDescent="0.35">
      <c r="A519" s="45">
        <v>243</v>
      </c>
      <c r="B519" s="45">
        <v>11</v>
      </c>
      <c r="C519" s="45" t="s">
        <v>23</v>
      </c>
      <c r="D519" s="45">
        <v>13.4</v>
      </c>
      <c r="E519" s="45">
        <v>1190</v>
      </c>
      <c r="F519" s="45">
        <v>40</v>
      </c>
      <c r="G519" s="45">
        <v>0.83</v>
      </c>
      <c r="H519" s="45">
        <v>0.16200000000000001</v>
      </c>
    </row>
    <row r="520" spans="1:8" x14ac:dyDescent="0.35">
      <c r="A520" s="45">
        <v>242</v>
      </c>
      <c r="B520" s="45">
        <v>2</v>
      </c>
      <c r="C520" s="45" t="s">
        <v>74</v>
      </c>
      <c r="D520" s="45">
        <v>1.3</v>
      </c>
      <c r="E520" s="45">
        <v>1188</v>
      </c>
      <c r="F520" s="45">
        <v>40</v>
      </c>
      <c r="G520" s="45">
        <v>1</v>
      </c>
      <c r="H520" s="45">
        <v>0.16200000000000001</v>
      </c>
    </row>
    <row r="521" spans="1:8" x14ac:dyDescent="0.35">
      <c r="A521" s="45">
        <v>241</v>
      </c>
      <c r="B521" s="45">
        <v>7</v>
      </c>
      <c r="C521" s="45" t="s">
        <v>17</v>
      </c>
      <c r="D521" s="45">
        <v>2.8</v>
      </c>
      <c r="E521" s="45">
        <v>1191</v>
      </c>
      <c r="F521" s="45">
        <v>40</v>
      </c>
      <c r="G521" s="45">
        <v>0.75</v>
      </c>
      <c r="H521" s="45">
        <v>0.16200000000000001</v>
      </c>
    </row>
    <row r="522" spans="1:8" x14ac:dyDescent="0.35">
      <c r="A522" s="45">
        <v>240</v>
      </c>
      <c r="B522" s="45">
        <v>9</v>
      </c>
      <c r="C522" s="45" t="s">
        <v>44</v>
      </c>
      <c r="D522" s="45">
        <v>2.2999999999999998</v>
      </c>
      <c r="E522" s="45">
        <v>1190</v>
      </c>
      <c r="F522" s="45">
        <v>40</v>
      </c>
      <c r="G522" s="45">
        <v>0.83</v>
      </c>
      <c r="H522" s="45">
        <v>0.16200000000000001</v>
      </c>
    </row>
    <row r="523" spans="1:8" x14ac:dyDescent="0.35">
      <c r="A523" s="45">
        <v>239</v>
      </c>
      <c r="B523" s="45">
        <v>11</v>
      </c>
      <c r="C523" s="45" t="s">
        <v>23</v>
      </c>
      <c r="D523" s="45">
        <v>19.600000000000001</v>
      </c>
      <c r="E523" s="45">
        <v>1188</v>
      </c>
      <c r="F523" s="45">
        <v>40</v>
      </c>
      <c r="G523" s="45">
        <v>1</v>
      </c>
      <c r="H523" s="45">
        <v>0.16200000000000001</v>
      </c>
    </row>
    <row r="524" spans="1:8" x14ac:dyDescent="0.35">
      <c r="A524" s="45">
        <v>238</v>
      </c>
      <c r="B524" s="45">
        <v>11</v>
      </c>
      <c r="C524" s="45" t="s">
        <v>23</v>
      </c>
      <c r="D524" s="45">
        <v>19.8</v>
      </c>
      <c r="E524" s="45">
        <v>1190</v>
      </c>
      <c r="F524" s="45">
        <v>40</v>
      </c>
      <c r="G524" s="45">
        <v>0.83</v>
      </c>
      <c r="H524" s="45">
        <v>0.16200000000000001</v>
      </c>
    </row>
    <row r="525" spans="1:8" x14ac:dyDescent="0.35">
      <c r="A525" s="45">
        <v>237</v>
      </c>
      <c r="B525" s="45">
        <v>3</v>
      </c>
      <c r="C525" s="45" t="s">
        <v>20</v>
      </c>
      <c r="D525" s="45">
        <v>1.3</v>
      </c>
      <c r="E525" s="45">
        <v>1189</v>
      </c>
      <c r="F525" s="45">
        <v>40</v>
      </c>
      <c r="G525" s="45">
        <v>0.92</v>
      </c>
      <c r="H525" s="45">
        <v>0.16200000000000001</v>
      </c>
    </row>
    <row r="526" spans="1:8" x14ac:dyDescent="0.35">
      <c r="A526" s="45">
        <v>236</v>
      </c>
      <c r="B526" s="45">
        <v>4</v>
      </c>
      <c r="C526" s="45" t="s">
        <v>28</v>
      </c>
      <c r="D526" s="45">
        <v>2.2000000000000002</v>
      </c>
      <c r="E526" s="45">
        <v>1191</v>
      </c>
      <c r="F526" s="45">
        <v>40</v>
      </c>
      <c r="G526" s="45">
        <v>0.75</v>
      </c>
      <c r="H526" s="45">
        <v>0.16200000000000001</v>
      </c>
    </row>
    <row r="527" spans="1:8" x14ac:dyDescent="0.35">
      <c r="A527" s="45">
        <v>235</v>
      </c>
      <c r="B527" s="45">
        <v>5</v>
      </c>
      <c r="C527" s="45" t="s">
        <v>35</v>
      </c>
      <c r="D527" s="45">
        <v>1</v>
      </c>
      <c r="E527" s="45">
        <v>1188</v>
      </c>
      <c r="F527" s="45">
        <v>40</v>
      </c>
      <c r="G527" s="45">
        <v>1</v>
      </c>
      <c r="H527" s="45">
        <v>0.16200000000000001</v>
      </c>
    </row>
    <row r="528" spans="1:8" x14ac:dyDescent="0.35">
      <c r="A528" s="45">
        <v>234</v>
      </c>
      <c r="B528" s="45">
        <v>11</v>
      </c>
      <c r="C528" s="45" t="s">
        <v>23</v>
      </c>
      <c r="D528" s="45">
        <v>17.5</v>
      </c>
      <c r="E528" s="45">
        <v>1188</v>
      </c>
      <c r="F528" s="45">
        <v>40</v>
      </c>
      <c r="G528" s="45">
        <v>1</v>
      </c>
      <c r="H528" s="45">
        <v>0.16200000000000001</v>
      </c>
    </row>
    <row r="529" spans="1:8" x14ac:dyDescent="0.35">
      <c r="A529" s="45">
        <v>233</v>
      </c>
      <c r="B529" s="45">
        <v>2</v>
      </c>
      <c r="C529" s="45" t="s">
        <v>74</v>
      </c>
      <c r="D529" s="45">
        <v>1.2</v>
      </c>
      <c r="E529" s="45">
        <v>1189</v>
      </c>
      <c r="F529" s="45">
        <v>40</v>
      </c>
      <c r="G529" s="45">
        <v>0.92</v>
      </c>
      <c r="H529" s="45">
        <v>0.16200000000000001</v>
      </c>
    </row>
    <row r="530" spans="1:8" x14ac:dyDescent="0.35">
      <c r="A530" s="45">
        <v>232</v>
      </c>
      <c r="B530" s="45">
        <v>1</v>
      </c>
      <c r="C530" s="45" t="s">
        <v>41</v>
      </c>
      <c r="D530" s="45">
        <v>2.8</v>
      </c>
      <c r="E530" s="45">
        <v>1189</v>
      </c>
      <c r="F530" s="45">
        <v>40</v>
      </c>
      <c r="G530" s="45">
        <v>0.92</v>
      </c>
      <c r="H530" s="45">
        <v>0.16200000000000001</v>
      </c>
    </row>
    <row r="531" spans="1:8" x14ac:dyDescent="0.35">
      <c r="A531" s="45">
        <v>231</v>
      </c>
      <c r="B531" s="45">
        <v>8</v>
      </c>
      <c r="C531" s="45" t="s">
        <v>38</v>
      </c>
      <c r="D531" s="45">
        <v>2.1</v>
      </c>
      <c r="E531" s="45">
        <v>1190</v>
      </c>
      <c r="F531" s="45">
        <v>40</v>
      </c>
      <c r="G531" s="45">
        <v>0.83</v>
      </c>
      <c r="H531" s="45">
        <v>0.16200000000000001</v>
      </c>
    </row>
    <row r="532" spans="1:8" x14ac:dyDescent="0.35">
      <c r="A532" s="45">
        <v>230</v>
      </c>
      <c r="B532" s="45">
        <v>7</v>
      </c>
      <c r="C532" s="45" t="s">
        <v>17</v>
      </c>
      <c r="D532" s="45">
        <v>2.8</v>
      </c>
      <c r="E532" s="45">
        <v>1188</v>
      </c>
      <c r="F532" s="45">
        <v>40</v>
      </c>
      <c r="G532" s="45">
        <v>1</v>
      </c>
      <c r="H532" s="45">
        <v>0.16200000000000001</v>
      </c>
    </row>
    <row r="533" spans="1:8" x14ac:dyDescent="0.35">
      <c r="A533" s="45">
        <v>229</v>
      </c>
      <c r="B533" s="45">
        <v>6</v>
      </c>
      <c r="C533" s="45" t="s">
        <v>14</v>
      </c>
      <c r="D533" s="45">
        <v>1.2</v>
      </c>
      <c r="E533" s="45">
        <v>1189</v>
      </c>
      <c r="F533" s="45">
        <v>40</v>
      </c>
      <c r="G533" s="45">
        <v>0.92</v>
      </c>
      <c r="H533" s="45">
        <v>0.16200000000000001</v>
      </c>
    </row>
    <row r="534" spans="1:8" x14ac:dyDescent="0.35">
      <c r="A534" s="45">
        <v>228</v>
      </c>
      <c r="B534" s="45">
        <v>3</v>
      </c>
      <c r="C534" s="45" t="s">
        <v>20</v>
      </c>
      <c r="D534" s="45">
        <v>1.2</v>
      </c>
      <c r="E534" s="45">
        <v>1189</v>
      </c>
      <c r="F534" s="45">
        <v>40</v>
      </c>
      <c r="G534" s="45">
        <v>0.92</v>
      </c>
      <c r="H534" s="45">
        <v>0.16200000000000001</v>
      </c>
    </row>
    <row r="535" spans="1:8" x14ac:dyDescent="0.35">
      <c r="A535" s="45">
        <v>227</v>
      </c>
      <c r="B535" s="45">
        <v>11</v>
      </c>
      <c r="C535" s="45" t="s">
        <v>23</v>
      </c>
      <c r="D535" s="45">
        <v>24.7</v>
      </c>
      <c r="E535" s="45">
        <v>1190</v>
      </c>
      <c r="F535" s="45">
        <v>40</v>
      </c>
      <c r="G535" s="45">
        <v>0.83</v>
      </c>
      <c r="H535" s="45">
        <v>0.16200000000000001</v>
      </c>
    </row>
    <row r="536" spans="1:8" x14ac:dyDescent="0.35">
      <c r="A536" s="45">
        <v>226</v>
      </c>
      <c r="B536" s="45">
        <v>1</v>
      </c>
      <c r="C536" s="45" t="s">
        <v>41</v>
      </c>
      <c r="D536" s="45">
        <v>2.8</v>
      </c>
      <c r="E536" s="45">
        <v>1186</v>
      </c>
      <c r="F536" s="45">
        <v>40</v>
      </c>
      <c r="G536" s="45">
        <v>1.17</v>
      </c>
      <c r="H536" s="45">
        <v>0.161</v>
      </c>
    </row>
    <row r="537" spans="1:8" x14ac:dyDescent="0.35">
      <c r="A537" s="45">
        <v>225</v>
      </c>
      <c r="B537" s="45">
        <v>11</v>
      </c>
      <c r="C537" s="45" t="s">
        <v>23</v>
      </c>
      <c r="D537" s="45">
        <v>14.6</v>
      </c>
      <c r="E537" s="45">
        <v>1192</v>
      </c>
      <c r="F537" s="45">
        <v>40</v>
      </c>
      <c r="G537" s="45">
        <v>0.67</v>
      </c>
      <c r="H537" s="45">
        <v>0.16200000000000001</v>
      </c>
    </row>
    <row r="538" spans="1:8" x14ac:dyDescent="0.35">
      <c r="A538" s="45">
        <v>224</v>
      </c>
      <c r="B538" s="45">
        <v>6</v>
      </c>
      <c r="C538" s="45" t="s">
        <v>14</v>
      </c>
      <c r="D538" s="45">
        <v>1.1000000000000001</v>
      </c>
      <c r="E538" s="45">
        <v>1189</v>
      </c>
      <c r="F538" s="45">
        <v>40</v>
      </c>
      <c r="G538" s="45">
        <v>0.92</v>
      </c>
      <c r="H538" s="45">
        <v>0.16200000000000001</v>
      </c>
    </row>
    <row r="539" spans="1:8" x14ac:dyDescent="0.35">
      <c r="A539" s="45">
        <v>223</v>
      </c>
      <c r="B539" s="45">
        <v>11</v>
      </c>
      <c r="C539" s="45" t="s">
        <v>23</v>
      </c>
      <c r="D539" s="45">
        <v>13.5</v>
      </c>
      <c r="E539" s="45">
        <v>1189</v>
      </c>
      <c r="F539" s="45">
        <v>40</v>
      </c>
      <c r="G539" s="45">
        <v>0.92</v>
      </c>
      <c r="H539" s="45">
        <v>0.16200000000000001</v>
      </c>
    </row>
    <row r="540" spans="1:8" x14ac:dyDescent="0.35">
      <c r="A540" s="45">
        <v>222</v>
      </c>
      <c r="B540" s="45">
        <v>3</v>
      </c>
      <c r="C540" s="45" t="s">
        <v>20</v>
      </c>
      <c r="D540" s="45">
        <v>2.7</v>
      </c>
      <c r="E540" s="45">
        <v>1188</v>
      </c>
      <c r="F540" s="45">
        <v>40</v>
      </c>
      <c r="G540" s="45">
        <v>1</v>
      </c>
      <c r="H540" s="45">
        <v>0.16200000000000001</v>
      </c>
    </row>
    <row r="541" spans="1:8" x14ac:dyDescent="0.35">
      <c r="A541" s="45">
        <v>221</v>
      </c>
      <c r="B541" s="45">
        <v>4</v>
      </c>
      <c r="C541" s="45" t="s">
        <v>28</v>
      </c>
      <c r="D541" s="45">
        <v>2.2999999999999998</v>
      </c>
      <c r="E541" s="45">
        <v>1190</v>
      </c>
      <c r="F541" s="45">
        <v>40</v>
      </c>
      <c r="G541" s="45">
        <v>0.83</v>
      </c>
      <c r="H541" s="45">
        <v>0.16200000000000001</v>
      </c>
    </row>
    <row r="542" spans="1:8" x14ac:dyDescent="0.35">
      <c r="A542" s="45">
        <v>220</v>
      </c>
      <c r="B542" s="45">
        <v>7</v>
      </c>
      <c r="C542" s="45" t="s">
        <v>17</v>
      </c>
      <c r="D542" s="45">
        <v>3</v>
      </c>
      <c r="E542" s="45">
        <v>1191</v>
      </c>
      <c r="F542" s="45">
        <v>40</v>
      </c>
      <c r="G542" s="45">
        <v>0.75</v>
      </c>
      <c r="H542" s="45">
        <v>0.16200000000000001</v>
      </c>
    </row>
    <row r="543" spans="1:8" x14ac:dyDescent="0.35">
      <c r="A543" s="45">
        <v>219</v>
      </c>
      <c r="B543" s="45">
        <v>9</v>
      </c>
      <c r="C543" s="45" t="s">
        <v>44</v>
      </c>
      <c r="D543" s="45">
        <v>1.1000000000000001</v>
      </c>
      <c r="E543" s="45">
        <v>1188</v>
      </c>
      <c r="F543" s="45">
        <v>40</v>
      </c>
      <c r="G543" s="45">
        <v>1</v>
      </c>
      <c r="H543" s="45">
        <v>0.16200000000000001</v>
      </c>
    </row>
    <row r="544" spans="1:8" x14ac:dyDescent="0.35">
      <c r="A544" s="45">
        <v>218</v>
      </c>
      <c r="B544" s="45">
        <v>8</v>
      </c>
      <c r="C544" s="45" t="s">
        <v>38</v>
      </c>
      <c r="D544" s="45">
        <v>2.2999999999999998</v>
      </c>
      <c r="E544" s="45">
        <v>1189</v>
      </c>
      <c r="F544" s="45">
        <v>40</v>
      </c>
      <c r="G544" s="45">
        <v>0.92</v>
      </c>
      <c r="H544" s="45">
        <v>0.16200000000000001</v>
      </c>
    </row>
    <row r="545" spans="1:8" x14ac:dyDescent="0.35">
      <c r="A545" s="45">
        <v>217</v>
      </c>
      <c r="B545" s="45">
        <v>11</v>
      </c>
      <c r="C545" s="45" t="s">
        <v>23</v>
      </c>
      <c r="D545" s="45">
        <v>18.899999999999999</v>
      </c>
      <c r="E545" s="45">
        <v>1188</v>
      </c>
      <c r="F545" s="45">
        <v>40</v>
      </c>
      <c r="G545" s="45">
        <v>1</v>
      </c>
      <c r="H545" s="45">
        <v>0.16200000000000001</v>
      </c>
    </row>
    <row r="546" spans="1:8" x14ac:dyDescent="0.35">
      <c r="A546" s="45">
        <v>216</v>
      </c>
      <c r="B546" s="45">
        <v>7</v>
      </c>
      <c r="C546" s="45" t="s">
        <v>17</v>
      </c>
      <c r="D546" s="45">
        <v>2.9</v>
      </c>
      <c r="E546" s="45">
        <v>1189</v>
      </c>
      <c r="F546" s="45">
        <v>40</v>
      </c>
      <c r="G546" s="45">
        <v>0.92</v>
      </c>
      <c r="H546" s="45">
        <v>0.16200000000000001</v>
      </c>
    </row>
    <row r="547" spans="1:8" x14ac:dyDescent="0.35">
      <c r="A547" s="45">
        <v>215</v>
      </c>
      <c r="B547" s="45">
        <v>3</v>
      </c>
      <c r="C547" s="45" t="s">
        <v>20</v>
      </c>
      <c r="D547" s="45">
        <v>0.9</v>
      </c>
      <c r="E547" s="45">
        <v>1187</v>
      </c>
      <c r="F547" s="45">
        <v>40</v>
      </c>
      <c r="G547" s="45">
        <v>1.08</v>
      </c>
      <c r="H547" s="45">
        <v>0.161</v>
      </c>
    </row>
    <row r="548" spans="1:8" x14ac:dyDescent="0.35">
      <c r="A548" s="45">
        <v>214</v>
      </c>
      <c r="B548" s="45">
        <v>11</v>
      </c>
      <c r="C548" s="45" t="s">
        <v>23</v>
      </c>
      <c r="D548" s="45">
        <v>17.7</v>
      </c>
      <c r="E548" s="45">
        <v>1188</v>
      </c>
      <c r="F548" s="45">
        <v>40</v>
      </c>
      <c r="G548" s="45">
        <v>1</v>
      </c>
      <c r="H548" s="45">
        <v>0.16200000000000001</v>
      </c>
    </row>
    <row r="549" spans="1:8" x14ac:dyDescent="0.35">
      <c r="A549" s="45">
        <v>213</v>
      </c>
      <c r="B549" s="45">
        <v>6</v>
      </c>
      <c r="C549" s="45" t="s">
        <v>14</v>
      </c>
      <c r="D549" s="45">
        <v>1.2</v>
      </c>
      <c r="E549" s="45">
        <v>1187</v>
      </c>
      <c r="F549" s="45">
        <v>40</v>
      </c>
      <c r="G549" s="45">
        <v>1.08</v>
      </c>
      <c r="H549" s="45">
        <v>0.161</v>
      </c>
    </row>
    <row r="550" spans="1:8" x14ac:dyDescent="0.35">
      <c r="A550" s="45">
        <v>212</v>
      </c>
      <c r="B550" s="45">
        <v>9</v>
      </c>
      <c r="C550" s="45" t="s">
        <v>44</v>
      </c>
      <c r="D550" s="45">
        <v>1.4</v>
      </c>
      <c r="E550" s="45">
        <v>1188</v>
      </c>
      <c r="F550" s="45">
        <v>40</v>
      </c>
      <c r="G550" s="45">
        <v>1</v>
      </c>
      <c r="H550" s="45">
        <v>0.16200000000000001</v>
      </c>
    </row>
    <row r="551" spans="1:8" x14ac:dyDescent="0.35">
      <c r="A551" s="45">
        <v>211</v>
      </c>
      <c r="B551" s="45">
        <v>11</v>
      </c>
      <c r="C551" s="45" t="s">
        <v>23</v>
      </c>
      <c r="D551" s="45">
        <v>19.899999999999999</v>
      </c>
      <c r="E551" s="45">
        <v>1188</v>
      </c>
      <c r="F551" s="45">
        <v>40</v>
      </c>
      <c r="G551" s="45">
        <v>1</v>
      </c>
      <c r="H551" s="45">
        <v>0.16200000000000001</v>
      </c>
    </row>
    <row r="552" spans="1:8" x14ac:dyDescent="0.35">
      <c r="A552" s="45">
        <v>210</v>
      </c>
      <c r="B552" s="45">
        <v>11</v>
      </c>
      <c r="C552" s="45" t="s">
        <v>23</v>
      </c>
      <c r="D552" s="45">
        <v>14.2</v>
      </c>
      <c r="E552" s="45">
        <v>1186</v>
      </c>
      <c r="F552" s="45">
        <v>40</v>
      </c>
      <c r="G552" s="45">
        <v>1.17</v>
      </c>
      <c r="H552" s="45">
        <v>0.161</v>
      </c>
    </row>
    <row r="553" spans="1:8" x14ac:dyDescent="0.35">
      <c r="A553" s="45">
        <v>209</v>
      </c>
      <c r="B553" s="45">
        <v>11</v>
      </c>
      <c r="C553" s="45" t="s">
        <v>23</v>
      </c>
      <c r="D553" s="45">
        <v>13.3</v>
      </c>
      <c r="E553" s="45">
        <v>1188</v>
      </c>
      <c r="F553" s="45">
        <v>40</v>
      </c>
      <c r="G553" s="45">
        <v>1</v>
      </c>
      <c r="H553" s="45">
        <v>0.16200000000000001</v>
      </c>
    </row>
    <row r="554" spans="1:8" x14ac:dyDescent="0.35">
      <c r="A554" s="45">
        <v>208</v>
      </c>
      <c r="B554" s="45">
        <v>8</v>
      </c>
      <c r="C554" s="45" t="s">
        <v>38</v>
      </c>
      <c r="D554" s="45">
        <v>2.2000000000000002</v>
      </c>
      <c r="E554" s="45">
        <v>1190</v>
      </c>
      <c r="F554" s="45">
        <v>40</v>
      </c>
      <c r="G554" s="45">
        <v>0.83</v>
      </c>
      <c r="H554" s="45">
        <v>0.16200000000000001</v>
      </c>
    </row>
    <row r="555" spans="1:8" x14ac:dyDescent="0.35">
      <c r="A555" s="45">
        <v>207</v>
      </c>
      <c r="B555" s="45">
        <v>5</v>
      </c>
      <c r="C555" s="45" t="s">
        <v>35</v>
      </c>
      <c r="D555" s="45">
        <v>1.1000000000000001</v>
      </c>
      <c r="E555" s="45">
        <v>1188</v>
      </c>
      <c r="F555" s="45">
        <v>40</v>
      </c>
      <c r="G555" s="45">
        <v>1</v>
      </c>
      <c r="H555" s="45">
        <v>0.16200000000000001</v>
      </c>
    </row>
    <row r="556" spans="1:8" x14ac:dyDescent="0.35">
      <c r="A556" s="45">
        <v>206</v>
      </c>
      <c r="B556" s="45">
        <v>7</v>
      </c>
      <c r="C556" s="45" t="s">
        <v>17</v>
      </c>
      <c r="D556" s="45">
        <v>2.8</v>
      </c>
      <c r="E556" s="45">
        <v>1189</v>
      </c>
      <c r="F556" s="45">
        <v>40</v>
      </c>
      <c r="G556" s="45">
        <v>0.92</v>
      </c>
      <c r="H556" s="45">
        <v>0.16200000000000001</v>
      </c>
    </row>
    <row r="557" spans="1:8" x14ac:dyDescent="0.35">
      <c r="A557" s="45">
        <v>205</v>
      </c>
      <c r="B557" s="45">
        <v>11</v>
      </c>
      <c r="C557" s="45" t="s">
        <v>23</v>
      </c>
      <c r="D557" s="45">
        <v>5.0999999999999996</v>
      </c>
      <c r="E557" s="45">
        <v>1185</v>
      </c>
      <c r="F557" s="45">
        <v>40</v>
      </c>
      <c r="G557" s="45">
        <v>1.25</v>
      </c>
      <c r="H557" s="45">
        <v>0.161</v>
      </c>
    </row>
    <row r="558" spans="1:8" x14ac:dyDescent="0.35">
      <c r="A558" s="45">
        <v>204</v>
      </c>
      <c r="B558" s="45">
        <v>2</v>
      </c>
      <c r="C558" s="45" t="s">
        <v>74</v>
      </c>
      <c r="D558" s="45">
        <v>1.3</v>
      </c>
      <c r="E558" s="45">
        <v>1186</v>
      </c>
      <c r="F558" s="45">
        <v>40</v>
      </c>
      <c r="G558" s="45">
        <v>1.17</v>
      </c>
      <c r="H558" s="45">
        <v>0.161</v>
      </c>
    </row>
    <row r="559" spans="1:8" x14ac:dyDescent="0.35">
      <c r="A559" s="45">
        <v>203</v>
      </c>
      <c r="B559" s="45">
        <v>6</v>
      </c>
      <c r="C559" s="45" t="s">
        <v>14</v>
      </c>
      <c r="D559" s="45">
        <v>1.2</v>
      </c>
      <c r="E559" s="45">
        <v>1185</v>
      </c>
      <c r="F559" s="45">
        <v>40</v>
      </c>
      <c r="G559" s="45">
        <v>1.25</v>
      </c>
      <c r="H559" s="45">
        <v>0.161</v>
      </c>
    </row>
    <row r="560" spans="1:8" x14ac:dyDescent="0.35">
      <c r="A560" s="45">
        <v>202</v>
      </c>
      <c r="B560" s="45">
        <v>3</v>
      </c>
      <c r="C560" s="45" t="s">
        <v>20</v>
      </c>
      <c r="D560" s="45">
        <v>1.2</v>
      </c>
      <c r="E560" s="45">
        <v>1186</v>
      </c>
      <c r="F560" s="45">
        <v>40</v>
      </c>
      <c r="G560" s="45">
        <v>1.17</v>
      </c>
      <c r="H560" s="45">
        <v>0.161</v>
      </c>
    </row>
    <row r="561" spans="1:8" x14ac:dyDescent="0.35">
      <c r="A561" s="45">
        <v>201</v>
      </c>
      <c r="B561" s="45">
        <v>4</v>
      </c>
      <c r="C561" s="45" t="s">
        <v>28</v>
      </c>
      <c r="D561" s="45">
        <v>2.2999999999999998</v>
      </c>
      <c r="E561" s="45">
        <v>1183</v>
      </c>
      <c r="F561" s="45">
        <v>40</v>
      </c>
      <c r="G561" s="45">
        <v>1.42</v>
      </c>
      <c r="H561" s="45">
        <v>0.161</v>
      </c>
    </row>
    <row r="562" spans="1:8" x14ac:dyDescent="0.35">
      <c r="A562" s="44" t="s">
        <v>1626</v>
      </c>
      <c r="B562" s="44" t="s">
        <v>1627</v>
      </c>
      <c r="C562" s="44" t="s">
        <v>4</v>
      </c>
      <c r="D562" s="44" t="s">
        <v>5</v>
      </c>
      <c r="E562" s="44" t="s">
        <v>6</v>
      </c>
      <c r="F562" s="44" t="s">
        <v>1629</v>
      </c>
      <c r="G562" s="44" t="s">
        <v>1628</v>
      </c>
      <c r="H562" s="44" t="s">
        <v>10</v>
      </c>
    </row>
    <row r="563" spans="1:8" x14ac:dyDescent="0.35">
      <c r="A563" s="45">
        <v>200</v>
      </c>
      <c r="B563" s="45">
        <v>11</v>
      </c>
      <c r="C563" s="45" t="s">
        <v>23</v>
      </c>
      <c r="D563" s="45">
        <v>17.5</v>
      </c>
      <c r="E563" s="45">
        <v>1038</v>
      </c>
      <c r="F563" s="45">
        <v>35</v>
      </c>
      <c r="G563" s="45">
        <v>1.1399999999999999</v>
      </c>
      <c r="H563" s="45">
        <v>0.13700000000000001</v>
      </c>
    </row>
    <row r="564" spans="1:8" x14ac:dyDescent="0.35">
      <c r="A564" s="45">
        <v>199</v>
      </c>
      <c r="B564" s="45">
        <v>2</v>
      </c>
      <c r="C564" s="45" t="s">
        <v>74</v>
      </c>
      <c r="D564" s="45">
        <v>1.4</v>
      </c>
      <c r="E564" s="45">
        <v>1040</v>
      </c>
      <c r="F564" s="45">
        <v>35</v>
      </c>
      <c r="G564" s="45">
        <v>0.95</v>
      </c>
      <c r="H564" s="45">
        <v>0.13800000000000001</v>
      </c>
    </row>
    <row r="565" spans="1:8" x14ac:dyDescent="0.35">
      <c r="A565" s="45">
        <v>198</v>
      </c>
      <c r="B565" s="45">
        <v>11</v>
      </c>
      <c r="C565" s="45" t="s">
        <v>23</v>
      </c>
      <c r="D565" s="45">
        <v>24</v>
      </c>
      <c r="E565" s="45">
        <v>1039</v>
      </c>
      <c r="F565" s="45">
        <v>35</v>
      </c>
      <c r="G565" s="45">
        <v>1.05</v>
      </c>
      <c r="H565" s="45">
        <v>0.13800000000000001</v>
      </c>
    </row>
    <row r="566" spans="1:8" x14ac:dyDescent="0.35">
      <c r="A566" s="45">
        <v>197</v>
      </c>
      <c r="B566" s="45">
        <v>8</v>
      </c>
      <c r="C566" s="45" t="s">
        <v>38</v>
      </c>
      <c r="D566" s="45">
        <v>2.2999999999999998</v>
      </c>
      <c r="E566" s="45">
        <v>1038</v>
      </c>
      <c r="F566" s="45">
        <v>35</v>
      </c>
      <c r="G566" s="45">
        <v>1.1399999999999999</v>
      </c>
      <c r="H566" s="45">
        <v>0.13700000000000001</v>
      </c>
    </row>
    <row r="567" spans="1:8" x14ac:dyDescent="0.35">
      <c r="A567" s="45">
        <v>196</v>
      </c>
      <c r="B567" s="45">
        <v>4</v>
      </c>
      <c r="C567" s="45" t="s">
        <v>28</v>
      </c>
      <c r="D567" s="45">
        <v>2.2999999999999998</v>
      </c>
      <c r="E567" s="45">
        <v>1040</v>
      </c>
      <c r="F567" s="45">
        <v>35</v>
      </c>
      <c r="G567" s="45">
        <v>0.95</v>
      </c>
      <c r="H567" s="45">
        <v>0.13900000000000001</v>
      </c>
    </row>
    <row r="568" spans="1:8" x14ac:dyDescent="0.35">
      <c r="A568" s="45">
        <v>195</v>
      </c>
      <c r="B568" s="45">
        <v>2</v>
      </c>
      <c r="C568" s="45" t="s">
        <v>74</v>
      </c>
      <c r="D568" s="45">
        <v>1.4</v>
      </c>
      <c r="E568" s="45">
        <v>1039</v>
      </c>
      <c r="F568" s="45">
        <v>35</v>
      </c>
      <c r="G568" s="45">
        <v>1.05</v>
      </c>
      <c r="H568" s="45">
        <v>0.14000000000000001</v>
      </c>
    </row>
    <row r="569" spans="1:8" x14ac:dyDescent="0.35">
      <c r="A569" s="45">
        <v>194</v>
      </c>
      <c r="B569" s="45">
        <v>11</v>
      </c>
      <c r="C569" s="45" t="s">
        <v>23</v>
      </c>
      <c r="D569" s="45">
        <v>13.8</v>
      </c>
      <c r="E569" s="45">
        <v>1039</v>
      </c>
      <c r="F569" s="45">
        <v>35</v>
      </c>
      <c r="G569" s="45">
        <v>1.05</v>
      </c>
      <c r="H569" s="45">
        <v>0.13900000000000001</v>
      </c>
    </row>
    <row r="570" spans="1:8" x14ac:dyDescent="0.35">
      <c r="A570" s="45">
        <v>193</v>
      </c>
      <c r="B570" s="45">
        <v>1</v>
      </c>
      <c r="C570" s="45" t="s">
        <v>41</v>
      </c>
      <c r="D570" s="45">
        <v>2.8</v>
      </c>
      <c r="E570" s="45">
        <v>1038</v>
      </c>
      <c r="F570" s="45">
        <v>35</v>
      </c>
      <c r="G570" s="45">
        <v>1.1399999999999999</v>
      </c>
      <c r="H570" s="45">
        <v>0.13800000000000001</v>
      </c>
    </row>
    <row r="571" spans="1:8" x14ac:dyDescent="0.35">
      <c r="A571" s="45">
        <v>192</v>
      </c>
      <c r="B571" s="45">
        <v>11</v>
      </c>
      <c r="C571" s="45" t="s">
        <v>23</v>
      </c>
      <c r="D571" s="45">
        <v>20.399999999999999</v>
      </c>
      <c r="E571" s="45">
        <v>1040</v>
      </c>
      <c r="F571" s="45">
        <v>35</v>
      </c>
      <c r="G571" s="45">
        <v>0.95</v>
      </c>
      <c r="H571" s="45">
        <v>0.13900000000000001</v>
      </c>
    </row>
    <row r="572" spans="1:8" x14ac:dyDescent="0.35">
      <c r="A572" s="45">
        <v>191</v>
      </c>
      <c r="B572" s="45">
        <v>11</v>
      </c>
      <c r="C572" s="45" t="s">
        <v>23</v>
      </c>
      <c r="D572" s="45">
        <v>14.3</v>
      </c>
      <c r="E572" s="45">
        <v>1041</v>
      </c>
      <c r="F572" s="45">
        <v>35</v>
      </c>
      <c r="G572" s="45">
        <v>0.86</v>
      </c>
      <c r="H572" s="45">
        <v>0.13900000000000001</v>
      </c>
    </row>
    <row r="573" spans="1:8" x14ac:dyDescent="0.35">
      <c r="A573" s="45">
        <v>190</v>
      </c>
      <c r="B573" s="45">
        <v>3</v>
      </c>
      <c r="C573" s="45" t="s">
        <v>20</v>
      </c>
      <c r="D573" s="45">
        <v>3</v>
      </c>
      <c r="E573" s="45">
        <v>1040</v>
      </c>
      <c r="F573" s="45">
        <v>35</v>
      </c>
      <c r="G573" s="45">
        <v>0.95</v>
      </c>
      <c r="H573" s="45">
        <v>0.13900000000000001</v>
      </c>
    </row>
    <row r="574" spans="1:8" x14ac:dyDescent="0.35">
      <c r="A574" s="45">
        <v>189</v>
      </c>
      <c r="B574" s="45">
        <v>9</v>
      </c>
      <c r="C574" s="45" t="s">
        <v>44</v>
      </c>
      <c r="D574" s="45">
        <v>1.3</v>
      </c>
      <c r="E574" s="45">
        <v>1041</v>
      </c>
      <c r="F574" s="45">
        <v>35</v>
      </c>
      <c r="G574" s="45">
        <v>0.86</v>
      </c>
      <c r="H574" s="45">
        <v>0.13900000000000001</v>
      </c>
    </row>
    <row r="575" spans="1:8" x14ac:dyDescent="0.35">
      <c r="A575" s="45">
        <v>188</v>
      </c>
      <c r="B575" s="45">
        <v>11</v>
      </c>
      <c r="C575" s="45" t="s">
        <v>23</v>
      </c>
      <c r="D575" s="45">
        <v>24.2</v>
      </c>
      <c r="E575" s="45">
        <v>1039</v>
      </c>
      <c r="F575" s="45">
        <v>35</v>
      </c>
      <c r="G575" s="45">
        <v>1.05</v>
      </c>
      <c r="H575" s="45">
        <v>0.13900000000000001</v>
      </c>
    </row>
    <row r="576" spans="1:8" x14ac:dyDescent="0.35">
      <c r="A576" s="45">
        <v>187</v>
      </c>
      <c r="B576" s="45">
        <v>11</v>
      </c>
      <c r="C576" s="45" t="s">
        <v>23</v>
      </c>
      <c r="D576" s="45">
        <v>14.3</v>
      </c>
      <c r="E576" s="45">
        <v>1039</v>
      </c>
      <c r="F576" s="45">
        <v>35</v>
      </c>
      <c r="G576" s="45">
        <v>1.05</v>
      </c>
      <c r="H576" s="45">
        <v>0.13900000000000001</v>
      </c>
    </row>
    <row r="577" spans="1:8" x14ac:dyDescent="0.35">
      <c r="A577" s="45">
        <v>186</v>
      </c>
      <c r="B577" s="45">
        <v>6</v>
      </c>
      <c r="C577" s="45" t="s">
        <v>14</v>
      </c>
      <c r="D577" s="45">
        <v>1.2</v>
      </c>
      <c r="E577" s="45">
        <v>1042</v>
      </c>
      <c r="F577" s="45">
        <v>35</v>
      </c>
      <c r="G577" s="45">
        <v>0.76</v>
      </c>
      <c r="H577" s="45">
        <v>0.13900000000000001</v>
      </c>
    </row>
    <row r="578" spans="1:8" x14ac:dyDescent="0.35">
      <c r="A578" s="45">
        <v>185</v>
      </c>
      <c r="B578" s="45">
        <v>8</v>
      </c>
      <c r="C578" s="45" t="s">
        <v>38</v>
      </c>
      <c r="D578" s="45">
        <v>2.2000000000000002</v>
      </c>
      <c r="E578" s="45">
        <v>1039</v>
      </c>
      <c r="F578" s="45">
        <v>35</v>
      </c>
      <c r="G578" s="45">
        <v>1.05</v>
      </c>
      <c r="H578" s="45">
        <v>0.13900000000000001</v>
      </c>
    </row>
    <row r="579" spans="1:8" x14ac:dyDescent="0.35">
      <c r="A579" s="45">
        <v>184</v>
      </c>
      <c r="B579" s="45">
        <v>4</v>
      </c>
      <c r="C579" s="45" t="s">
        <v>28</v>
      </c>
      <c r="D579" s="45">
        <v>2.2999999999999998</v>
      </c>
      <c r="E579" s="45">
        <v>1039</v>
      </c>
      <c r="F579" s="45">
        <v>35</v>
      </c>
      <c r="G579" s="45">
        <v>1.05</v>
      </c>
      <c r="H579" s="45">
        <v>0.13800000000000001</v>
      </c>
    </row>
    <row r="580" spans="1:8" x14ac:dyDescent="0.35">
      <c r="A580" s="45">
        <v>183</v>
      </c>
      <c r="B580" s="45">
        <v>3</v>
      </c>
      <c r="C580" s="45" t="s">
        <v>20</v>
      </c>
      <c r="D580" s="45">
        <v>1</v>
      </c>
      <c r="E580" s="45">
        <v>1038</v>
      </c>
      <c r="F580" s="45">
        <v>35</v>
      </c>
      <c r="G580" s="45">
        <v>1.1399999999999999</v>
      </c>
      <c r="H580" s="45">
        <v>0.13900000000000001</v>
      </c>
    </row>
    <row r="581" spans="1:8" x14ac:dyDescent="0.35">
      <c r="A581" s="45">
        <v>182</v>
      </c>
      <c r="B581" s="45">
        <v>1</v>
      </c>
      <c r="C581" s="45" t="s">
        <v>41</v>
      </c>
      <c r="D581" s="45">
        <v>2.8</v>
      </c>
      <c r="E581" s="45">
        <v>1041</v>
      </c>
      <c r="F581" s="45">
        <v>35</v>
      </c>
      <c r="G581" s="45">
        <v>0.86</v>
      </c>
      <c r="H581" s="45">
        <v>0.13800000000000001</v>
      </c>
    </row>
    <row r="582" spans="1:8" x14ac:dyDescent="0.35">
      <c r="A582" s="45">
        <v>181</v>
      </c>
      <c r="B582" s="45">
        <v>7</v>
      </c>
      <c r="C582" s="45" t="s">
        <v>17</v>
      </c>
      <c r="D582" s="45">
        <v>2.9</v>
      </c>
      <c r="E582" s="45">
        <v>1041</v>
      </c>
      <c r="F582" s="45">
        <v>35</v>
      </c>
      <c r="G582" s="45">
        <v>0.86</v>
      </c>
      <c r="H582" s="45">
        <v>0.13800000000000001</v>
      </c>
    </row>
    <row r="583" spans="1:8" x14ac:dyDescent="0.35">
      <c r="A583" s="45">
        <v>180</v>
      </c>
      <c r="B583" s="45">
        <v>4</v>
      </c>
      <c r="C583" s="45" t="s">
        <v>28</v>
      </c>
      <c r="D583" s="45">
        <v>2.2000000000000002</v>
      </c>
      <c r="E583" s="45">
        <v>1038</v>
      </c>
      <c r="F583" s="45">
        <v>35</v>
      </c>
      <c r="G583" s="45">
        <v>1.1399999999999999</v>
      </c>
      <c r="H583" s="45">
        <v>0.13900000000000001</v>
      </c>
    </row>
    <row r="584" spans="1:8" x14ac:dyDescent="0.35">
      <c r="A584" s="45">
        <v>179</v>
      </c>
      <c r="B584" s="45">
        <v>11</v>
      </c>
      <c r="C584" s="45" t="s">
        <v>23</v>
      </c>
      <c r="D584" s="45">
        <v>20.3</v>
      </c>
      <c r="E584" s="45">
        <v>1041</v>
      </c>
      <c r="F584" s="45">
        <v>35</v>
      </c>
      <c r="G584" s="45">
        <v>0.86</v>
      </c>
      <c r="H584" s="45">
        <v>0.14000000000000001</v>
      </c>
    </row>
    <row r="585" spans="1:8" x14ac:dyDescent="0.35">
      <c r="A585" s="45">
        <v>178</v>
      </c>
      <c r="B585" s="45">
        <v>9</v>
      </c>
      <c r="C585" s="45" t="s">
        <v>44</v>
      </c>
      <c r="D585" s="45">
        <v>1.1000000000000001</v>
      </c>
      <c r="E585" s="45">
        <v>1042</v>
      </c>
      <c r="F585" s="45">
        <v>35</v>
      </c>
      <c r="G585" s="45">
        <v>0.76</v>
      </c>
      <c r="H585" s="45">
        <v>0.14000000000000001</v>
      </c>
    </row>
    <row r="586" spans="1:8" x14ac:dyDescent="0.35">
      <c r="A586" s="45">
        <v>177</v>
      </c>
      <c r="B586" s="45">
        <v>6</v>
      </c>
      <c r="C586" s="45" t="s">
        <v>14</v>
      </c>
      <c r="D586" s="45">
        <v>1.3</v>
      </c>
      <c r="E586" s="45">
        <v>1041</v>
      </c>
      <c r="F586" s="45">
        <v>35</v>
      </c>
      <c r="G586" s="45">
        <v>0.86</v>
      </c>
      <c r="H586" s="45">
        <v>0.13800000000000001</v>
      </c>
    </row>
    <row r="587" spans="1:8" x14ac:dyDescent="0.35">
      <c r="A587" s="45">
        <v>176</v>
      </c>
      <c r="B587" s="45">
        <v>11</v>
      </c>
      <c r="C587" s="45" t="s">
        <v>23</v>
      </c>
      <c r="D587" s="45">
        <v>20.100000000000001</v>
      </c>
      <c r="E587" s="45">
        <v>1039</v>
      </c>
      <c r="F587" s="45">
        <v>35</v>
      </c>
      <c r="G587" s="45">
        <v>1.05</v>
      </c>
      <c r="H587" s="45">
        <v>0.13900000000000001</v>
      </c>
    </row>
    <row r="588" spans="1:8" x14ac:dyDescent="0.35">
      <c r="A588" s="45">
        <v>175</v>
      </c>
      <c r="B588" s="45">
        <v>3</v>
      </c>
      <c r="C588" s="45" t="s">
        <v>20</v>
      </c>
      <c r="D588" s="45">
        <v>1.2</v>
      </c>
      <c r="E588" s="45">
        <v>1041</v>
      </c>
      <c r="F588" s="45">
        <v>35</v>
      </c>
      <c r="G588" s="45">
        <v>0.86</v>
      </c>
      <c r="H588" s="45">
        <v>0.14000000000000001</v>
      </c>
    </row>
    <row r="589" spans="1:8" x14ac:dyDescent="0.35">
      <c r="A589" s="45">
        <v>174</v>
      </c>
      <c r="B589" s="45">
        <v>11</v>
      </c>
      <c r="C589" s="45" t="s">
        <v>23</v>
      </c>
      <c r="D589" s="45">
        <v>40.9</v>
      </c>
      <c r="E589" s="45">
        <v>1039</v>
      </c>
      <c r="F589" s="45">
        <v>35</v>
      </c>
      <c r="G589" s="45">
        <v>1.05</v>
      </c>
      <c r="H589" s="45">
        <v>0.13900000000000001</v>
      </c>
    </row>
    <row r="590" spans="1:8" x14ac:dyDescent="0.35">
      <c r="A590" s="45">
        <v>173</v>
      </c>
      <c r="B590" s="45">
        <v>9</v>
      </c>
      <c r="C590" s="45" t="s">
        <v>44</v>
      </c>
      <c r="D590" s="45">
        <v>0.9</v>
      </c>
      <c r="E590" s="45">
        <v>1038</v>
      </c>
      <c r="F590" s="45">
        <v>35</v>
      </c>
      <c r="G590" s="45">
        <v>1.1399999999999999</v>
      </c>
      <c r="H590" s="45">
        <v>0.13800000000000001</v>
      </c>
    </row>
    <row r="591" spans="1:8" x14ac:dyDescent="0.35">
      <c r="A591" s="45">
        <v>172</v>
      </c>
      <c r="B591" s="45">
        <v>11</v>
      </c>
      <c r="C591" s="45" t="s">
        <v>23</v>
      </c>
      <c r="D591" s="45">
        <v>5.3</v>
      </c>
      <c r="E591" s="45">
        <v>1039</v>
      </c>
      <c r="F591" s="45">
        <v>35</v>
      </c>
      <c r="G591" s="45">
        <v>1.05</v>
      </c>
      <c r="H591" s="45">
        <v>0.13900000000000001</v>
      </c>
    </row>
    <row r="592" spans="1:8" x14ac:dyDescent="0.35">
      <c r="A592" s="45">
        <v>171</v>
      </c>
      <c r="B592" s="45">
        <v>5</v>
      </c>
      <c r="C592" s="45" t="s">
        <v>35</v>
      </c>
      <c r="D592" s="45">
        <v>1</v>
      </c>
      <c r="E592" s="45">
        <v>1041</v>
      </c>
      <c r="F592" s="45">
        <v>35</v>
      </c>
      <c r="G592" s="45">
        <v>0.86</v>
      </c>
      <c r="H592" s="45">
        <v>0.13900000000000001</v>
      </c>
    </row>
    <row r="593" spans="1:8" x14ac:dyDescent="0.35">
      <c r="A593" s="45">
        <v>170</v>
      </c>
      <c r="B593" s="45">
        <v>11</v>
      </c>
      <c r="C593" s="45" t="s">
        <v>23</v>
      </c>
      <c r="D593" s="45">
        <v>20.2</v>
      </c>
      <c r="E593" s="45">
        <v>1038</v>
      </c>
      <c r="F593" s="45">
        <v>35</v>
      </c>
      <c r="G593" s="45">
        <v>1.1399999999999999</v>
      </c>
      <c r="H593" s="45">
        <v>0.13900000000000001</v>
      </c>
    </row>
    <row r="594" spans="1:8" x14ac:dyDescent="0.35">
      <c r="A594" s="45">
        <v>169</v>
      </c>
      <c r="B594" s="45">
        <v>11</v>
      </c>
      <c r="C594" s="45" t="s">
        <v>23</v>
      </c>
      <c r="D594" s="45">
        <v>19.100000000000001</v>
      </c>
      <c r="E594" s="45">
        <v>1041</v>
      </c>
      <c r="F594" s="45">
        <v>35</v>
      </c>
      <c r="G594" s="45">
        <v>0.86</v>
      </c>
      <c r="H594" s="45">
        <v>0.14000000000000001</v>
      </c>
    </row>
    <row r="595" spans="1:8" x14ac:dyDescent="0.35">
      <c r="A595" s="45">
        <v>168</v>
      </c>
      <c r="B595" s="45">
        <v>11</v>
      </c>
      <c r="C595" s="45" t="s">
        <v>23</v>
      </c>
      <c r="D595" s="45">
        <v>30.9</v>
      </c>
      <c r="E595" s="45">
        <v>1041</v>
      </c>
      <c r="F595" s="45">
        <v>35</v>
      </c>
      <c r="G595" s="45">
        <v>0.86</v>
      </c>
      <c r="H595" s="45">
        <v>0.13900000000000001</v>
      </c>
    </row>
    <row r="596" spans="1:8" x14ac:dyDescent="0.35">
      <c r="A596" s="45">
        <v>167</v>
      </c>
      <c r="B596" s="45">
        <v>11</v>
      </c>
      <c r="C596" s="45" t="s">
        <v>23</v>
      </c>
      <c r="D596" s="45">
        <v>14.3</v>
      </c>
      <c r="E596" s="45">
        <v>1040</v>
      </c>
      <c r="F596" s="45">
        <v>35</v>
      </c>
      <c r="G596" s="45">
        <v>0.95</v>
      </c>
      <c r="H596" s="45">
        <v>0.13900000000000001</v>
      </c>
    </row>
    <row r="597" spans="1:8" x14ac:dyDescent="0.35">
      <c r="A597" s="45">
        <v>166</v>
      </c>
      <c r="B597" s="45">
        <v>11</v>
      </c>
      <c r="C597" s="45" t="s">
        <v>23</v>
      </c>
      <c r="D597" s="45">
        <v>14.2</v>
      </c>
      <c r="E597" s="45">
        <v>1037</v>
      </c>
      <c r="F597" s="45">
        <v>35</v>
      </c>
      <c r="G597" s="45">
        <v>1.24</v>
      </c>
      <c r="H597" s="45">
        <v>0.13900000000000001</v>
      </c>
    </row>
    <row r="598" spans="1:8" x14ac:dyDescent="0.35">
      <c r="A598" s="45">
        <v>165</v>
      </c>
      <c r="B598" s="45">
        <v>8</v>
      </c>
      <c r="C598" s="45" t="s">
        <v>38</v>
      </c>
      <c r="D598" s="45">
        <v>2.2000000000000002</v>
      </c>
      <c r="E598" s="45">
        <v>1041</v>
      </c>
      <c r="F598" s="45">
        <v>35</v>
      </c>
      <c r="G598" s="45">
        <v>0.86</v>
      </c>
      <c r="H598" s="45">
        <v>0.13900000000000001</v>
      </c>
    </row>
    <row r="599" spans="1:8" x14ac:dyDescent="0.35">
      <c r="A599" s="45">
        <v>164</v>
      </c>
      <c r="B599" s="45">
        <v>6</v>
      </c>
      <c r="C599" s="45" t="s">
        <v>14</v>
      </c>
      <c r="D599" s="45">
        <v>1.4</v>
      </c>
      <c r="E599" s="45">
        <v>1041</v>
      </c>
      <c r="F599" s="45">
        <v>35</v>
      </c>
      <c r="G599" s="45">
        <v>0.86</v>
      </c>
      <c r="H599" s="45">
        <v>0.13800000000000001</v>
      </c>
    </row>
    <row r="600" spans="1:8" x14ac:dyDescent="0.35">
      <c r="A600" s="45">
        <v>163</v>
      </c>
      <c r="B600" s="45">
        <v>7</v>
      </c>
      <c r="C600" s="45" t="s">
        <v>17</v>
      </c>
      <c r="D600" s="45">
        <v>2.8</v>
      </c>
      <c r="E600" s="45">
        <v>1039</v>
      </c>
      <c r="F600" s="45">
        <v>35</v>
      </c>
      <c r="G600" s="45">
        <v>1.05</v>
      </c>
      <c r="H600" s="45">
        <v>0.13900000000000001</v>
      </c>
    </row>
    <row r="601" spans="1:8" x14ac:dyDescent="0.35">
      <c r="A601" s="45">
        <v>162</v>
      </c>
      <c r="B601" s="45">
        <v>11</v>
      </c>
      <c r="C601" s="45" t="s">
        <v>23</v>
      </c>
      <c r="D601" s="45">
        <v>14.1</v>
      </c>
      <c r="E601" s="45">
        <v>1041</v>
      </c>
      <c r="F601" s="45">
        <v>35</v>
      </c>
      <c r="G601" s="45">
        <v>0.86</v>
      </c>
      <c r="H601" s="45">
        <v>0.13900000000000001</v>
      </c>
    </row>
    <row r="602" spans="1:8" x14ac:dyDescent="0.35">
      <c r="A602" s="45">
        <v>161</v>
      </c>
      <c r="B602" s="45">
        <v>11</v>
      </c>
      <c r="C602" s="45" t="s">
        <v>23</v>
      </c>
      <c r="D602" s="45">
        <v>13.4</v>
      </c>
      <c r="E602" s="45">
        <v>1039</v>
      </c>
      <c r="F602" s="45">
        <v>35</v>
      </c>
      <c r="G602" s="45">
        <v>1.05</v>
      </c>
      <c r="H602" s="45">
        <v>0.13800000000000001</v>
      </c>
    </row>
    <row r="603" spans="1:8" x14ac:dyDescent="0.35">
      <c r="A603" s="45">
        <v>160</v>
      </c>
      <c r="B603" s="45">
        <v>4</v>
      </c>
      <c r="C603" s="45" t="s">
        <v>28</v>
      </c>
      <c r="D603" s="45">
        <v>2.2999999999999998</v>
      </c>
      <c r="E603" s="45">
        <v>1040</v>
      </c>
      <c r="F603" s="45">
        <v>35</v>
      </c>
      <c r="G603" s="45">
        <v>0.95</v>
      </c>
      <c r="H603" s="45">
        <v>0.13800000000000001</v>
      </c>
    </row>
    <row r="604" spans="1:8" x14ac:dyDescent="0.35">
      <c r="A604" s="45">
        <v>159</v>
      </c>
      <c r="B604" s="45">
        <v>1</v>
      </c>
      <c r="C604" s="45" t="s">
        <v>41</v>
      </c>
      <c r="D604" s="45">
        <v>2.9</v>
      </c>
      <c r="E604" s="45">
        <v>1039</v>
      </c>
      <c r="F604" s="45">
        <v>35</v>
      </c>
      <c r="G604" s="45">
        <v>1.05</v>
      </c>
      <c r="H604" s="45">
        <v>0.14000000000000001</v>
      </c>
    </row>
    <row r="605" spans="1:8" x14ac:dyDescent="0.35">
      <c r="A605" s="45">
        <v>158</v>
      </c>
      <c r="B605" s="45">
        <v>11</v>
      </c>
      <c r="C605" s="45" t="s">
        <v>23</v>
      </c>
      <c r="D605" s="45">
        <v>20.3</v>
      </c>
      <c r="E605" s="45">
        <v>1042</v>
      </c>
      <c r="F605" s="45">
        <v>35</v>
      </c>
      <c r="G605" s="45">
        <v>0.76</v>
      </c>
      <c r="H605" s="45">
        <v>0.13900000000000001</v>
      </c>
    </row>
    <row r="606" spans="1:8" x14ac:dyDescent="0.35">
      <c r="A606" s="45">
        <v>157</v>
      </c>
      <c r="B606" s="45">
        <v>11</v>
      </c>
      <c r="C606" s="45" t="s">
        <v>23</v>
      </c>
      <c r="D606" s="45">
        <v>15.8</v>
      </c>
      <c r="E606" s="45">
        <v>1041</v>
      </c>
      <c r="F606" s="45">
        <v>35</v>
      </c>
      <c r="G606" s="45">
        <v>0.86</v>
      </c>
      <c r="H606" s="45">
        <v>0.14000000000000001</v>
      </c>
    </row>
    <row r="607" spans="1:8" x14ac:dyDescent="0.35">
      <c r="A607" s="45">
        <v>156</v>
      </c>
      <c r="B607" s="45">
        <v>5</v>
      </c>
      <c r="C607" s="45" t="s">
        <v>35</v>
      </c>
      <c r="D607" s="45">
        <v>1.2</v>
      </c>
      <c r="E607" s="45">
        <v>1039</v>
      </c>
      <c r="F607" s="45">
        <v>35</v>
      </c>
      <c r="G607" s="45">
        <v>1.05</v>
      </c>
      <c r="H607" s="45">
        <v>0.13800000000000001</v>
      </c>
    </row>
    <row r="608" spans="1:8" x14ac:dyDescent="0.35">
      <c r="A608" s="45">
        <v>155</v>
      </c>
      <c r="B608" s="45">
        <v>11</v>
      </c>
      <c r="C608" s="45" t="s">
        <v>23</v>
      </c>
      <c r="D608" s="45">
        <v>14.3</v>
      </c>
      <c r="E608" s="45">
        <v>1038</v>
      </c>
      <c r="F608" s="45">
        <v>35</v>
      </c>
      <c r="G608" s="45">
        <v>1.1399999999999999</v>
      </c>
      <c r="H608" s="45">
        <v>0.14000000000000001</v>
      </c>
    </row>
    <row r="609" spans="1:8" x14ac:dyDescent="0.35">
      <c r="A609" s="45">
        <v>154</v>
      </c>
      <c r="B609" s="45">
        <v>3</v>
      </c>
      <c r="C609" s="45" t="s">
        <v>20</v>
      </c>
      <c r="D609" s="45">
        <v>2.9</v>
      </c>
      <c r="E609" s="45">
        <v>1040</v>
      </c>
      <c r="F609" s="45">
        <v>35</v>
      </c>
      <c r="G609" s="45">
        <v>0.95</v>
      </c>
      <c r="H609" s="45">
        <v>0.13900000000000001</v>
      </c>
    </row>
    <row r="610" spans="1:8" x14ac:dyDescent="0.35">
      <c r="A610" s="45">
        <v>153</v>
      </c>
      <c r="B610" s="45">
        <v>4</v>
      </c>
      <c r="C610" s="45" t="s">
        <v>28</v>
      </c>
      <c r="D610" s="45">
        <v>2.2000000000000002</v>
      </c>
      <c r="E610" s="45">
        <v>1039</v>
      </c>
      <c r="F610" s="45">
        <v>35</v>
      </c>
      <c r="G610" s="45">
        <v>1.05</v>
      </c>
      <c r="H610" s="45">
        <v>0.13800000000000001</v>
      </c>
    </row>
    <row r="611" spans="1:8" x14ac:dyDescent="0.35">
      <c r="A611" s="45">
        <v>152</v>
      </c>
      <c r="B611" s="45">
        <v>11</v>
      </c>
      <c r="C611" s="45" t="s">
        <v>23</v>
      </c>
      <c r="D611" s="45">
        <v>17.3</v>
      </c>
      <c r="E611" s="45">
        <v>1036</v>
      </c>
      <c r="F611" s="45">
        <v>35</v>
      </c>
      <c r="G611" s="45">
        <v>1.33</v>
      </c>
      <c r="H611" s="45">
        <v>0.13800000000000001</v>
      </c>
    </row>
    <row r="612" spans="1:8" x14ac:dyDescent="0.35">
      <c r="A612" s="45">
        <v>151</v>
      </c>
      <c r="B612" s="45">
        <v>2</v>
      </c>
      <c r="C612" s="45" t="s">
        <v>74</v>
      </c>
      <c r="D612" s="45">
        <v>1.2</v>
      </c>
      <c r="E612" s="45">
        <v>1036</v>
      </c>
      <c r="F612" s="45">
        <v>35</v>
      </c>
      <c r="G612" s="45">
        <v>1.33</v>
      </c>
      <c r="H612" s="45">
        <v>0.13800000000000001</v>
      </c>
    </row>
    <row r="613" spans="1:8" x14ac:dyDescent="0.35">
      <c r="A613" s="44" t="s">
        <v>1626</v>
      </c>
      <c r="B613" s="44" t="s">
        <v>1627</v>
      </c>
      <c r="C613" s="44" t="s">
        <v>4</v>
      </c>
      <c r="D613" s="44" t="s">
        <v>5</v>
      </c>
      <c r="E613" s="44" t="s">
        <v>6</v>
      </c>
      <c r="F613" s="44" t="s">
        <v>1629</v>
      </c>
      <c r="G613" s="44" t="s">
        <v>1628</v>
      </c>
      <c r="H613" s="44" t="s">
        <v>10</v>
      </c>
    </row>
    <row r="614" spans="1:8" x14ac:dyDescent="0.35">
      <c r="A614" s="45">
        <v>150</v>
      </c>
      <c r="B614" s="45">
        <v>11</v>
      </c>
      <c r="C614" s="45" t="s">
        <v>23</v>
      </c>
      <c r="D614" s="45">
        <v>19.3</v>
      </c>
      <c r="E614" s="45">
        <v>888</v>
      </c>
      <c r="F614" s="45">
        <v>30</v>
      </c>
      <c r="G614" s="45">
        <v>1.33</v>
      </c>
      <c r="H614" s="45">
        <v>0.12</v>
      </c>
    </row>
    <row r="615" spans="1:8" x14ac:dyDescent="0.35">
      <c r="A615" s="45">
        <v>149</v>
      </c>
      <c r="B615" s="45">
        <v>9</v>
      </c>
      <c r="C615" s="45" t="s">
        <v>44</v>
      </c>
      <c r="D615" s="45">
        <v>1.2</v>
      </c>
      <c r="E615" s="45">
        <v>886</v>
      </c>
      <c r="F615" s="45">
        <v>30</v>
      </c>
      <c r="G615" s="45">
        <v>1.56</v>
      </c>
      <c r="H615" s="45">
        <v>0.11799999999999999</v>
      </c>
    </row>
    <row r="616" spans="1:8" x14ac:dyDescent="0.35">
      <c r="A616" s="45">
        <v>148</v>
      </c>
      <c r="B616" s="45">
        <v>6</v>
      </c>
      <c r="C616" s="45" t="s">
        <v>14</v>
      </c>
      <c r="D616" s="45">
        <v>1.2</v>
      </c>
      <c r="E616" s="45">
        <v>889</v>
      </c>
      <c r="F616" s="45">
        <v>30</v>
      </c>
      <c r="G616" s="45">
        <v>1.22</v>
      </c>
      <c r="H616" s="45">
        <v>0.11799999999999999</v>
      </c>
    </row>
    <row r="617" spans="1:8" x14ac:dyDescent="0.35">
      <c r="A617" s="45">
        <v>147</v>
      </c>
      <c r="B617" s="45">
        <v>2</v>
      </c>
      <c r="C617" s="45" t="s">
        <v>74</v>
      </c>
      <c r="D617" s="45">
        <v>1.3</v>
      </c>
      <c r="E617" s="45">
        <v>889</v>
      </c>
      <c r="F617" s="45">
        <v>30</v>
      </c>
      <c r="G617" s="45">
        <v>1.22</v>
      </c>
      <c r="H617" s="45">
        <v>0.12</v>
      </c>
    </row>
    <row r="618" spans="1:8" x14ac:dyDescent="0.35">
      <c r="A618" s="45">
        <v>146</v>
      </c>
      <c r="B618" s="45">
        <v>11</v>
      </c>
      <c r="C618" s="45" t="s">
        <v>23</v>
      </c>
      <c r="D618" s="45">
        <v>13.7</v>
      </c>
      <c r="E618" s="45">
        <v>887</v>
      </c>
      <c r="F618" s="45">
        <v>30</v>
      </c>
      <c r="G618" s="45">
        <v>1.44</v>
      </c>
      <c r="H618" s="45">
        <v>0.11899999999999999</v>
      </c>
    </row>
    <row r="619" spans="1:8" x14ac:dyDescent="0.35">
      <c r="A619" s="45">
        <v>145</v>
      </c>
      <c r="B619" s="45">
        <v>1</v>
      </c>
      <c r="C619" s="45" t="s">
        <v>41</v>
      </c>
      <c r="D619" s="45">
        <v>2.9</v>
      </c>
      <c r="E619" s="45">
        <v>889</v>
      </c>
      <c r="F619" s="45">
        <v>30</v>
      </c>
      <c r="G619" s="45">
        <v>1.22</v>
      </c>
      <c r="H619" s="45">
        <v>0.11899999999999999</v>
      </c>
    </row>
    <row r="620" spans="1:8" x14ac:dyDescent="0.35">
      <c r="A620" s="45">
        <v>144</v>
      </c>
      <c r="B620" s="45">
        <v>11</v>
      </c>
      <c r="C620" s="45" t="s">
        <v>23</v>
      </c>
      <c r="D620" s="45">
        <v>21</v>
      </c>
      <c r="E620" s="45">
        <v>886</v>
      </c>
      <c r="F620" s="45">
        <v>30</v>
      </c>
      <c r="G620" s="45">
        <v>1.56</v>
      </c>
      <c r="H620" s="45">
        <v>0.11899999999999999</v>
      </c>
    </row>
    <row r="621" spans="1:8" x14ac:dyDescent="0.35">
      <c r="A621" s="45">
        <v>143</v>
      </c>
      <c r="B621" s="45">
        <v>8</v>
      </c>
      <c r="C621" s="45" t="s">
        <v>38</v>
      </c>
      <c r="D621" s="45">
        <v>2.2000000000000002</v>
      </c>
      <c r="E621" s="45">
        <v>886</v>
      </c>
      <c r="F621" s="45">
        <v>30</v>
      </c>
      <c r="G621" s="45">
        <v>1.56</v>
      </c>
      <c r="H621" s="45">
        <v>0.11899999999999999</v>
      </c>
    </row>
    <row r="622" spans="1:8" x14ac:dyDescent="0.35">
      <c r="A622" s="45">
        <v>142</v>
      </c>
      <c r="B622" s="45">
        <v>11</v>
      </c>
      <c r="C622" s="45" t="s">
        <v>23</v>
      </c>
      <c r="D622" s="45">
        <v>5.6</v>
      </c>
      <c r="E622" s="45">
        <v>890</v>
      </c>
      <c r="F622" s="45">
        <v>30</v>
      </c>
      <c r="G622" s="45">
        <v>1.1100000000000001</v>
      </c>
      <c r="H622" s="45">
        <v>0.11899999999999999</v>
      </c>
    </row>
    <row r="623" spans="1:8" x14ac:dyDescent="0.35">
      <c r="A623" s="45">
        <v>141</v>
      </c>
      <c r="B623" s="45">
        <v>11</v>
      </c>
      <c r="C623" s="45" t="s">
        <v>23</v>
      </c>
      <c r="D623" s="45">
        <v>14.8</v>
      </c>
      <c r="E623" s="45">
        <v>886</v>
      </c>
      <c r="F623" s="45">
        <v>30</v>
      </c>
      <c r="G623" s="45">
        <v>1.56</v>
      </c>
      <c r="H623" s="45">
        <v>0.11799999999999999</v>
      </c>
    </row>
    <row r="624" spans="1:8" x14ac:dyDescent="0.35">
      <c r="A624" s="45">
        <v>140</v>
      </c>
      <c r="B624" s="45">
        <v>2</v>
      </c>
      <c r="C624" s="45" t="s">
        <v>74</v>
      </c>
      <c r="D624" s="45">
        <v>1.2</v>
      </c>
      <c r="E624" s="45">
        <v>888</v>
      </c>
      <c r="F624" s="45">
        <v>30</v>
      </c>
      <c r="G624" s="45">
        <v>1.33</v>
      </c>
      <c r="H624" s="45">
        <v>0.11899999999999999</v>
      </c>
    </row>
    <row r="625" spans="1:8" x14ac:dyDescent="0.35">
      <c r="A625" s="45">
        <v>139</v>
      </c>
      <c r="B625" s="45">
        <v>4</v>
      </c>
      <c r="C625" s="45" t="s">
        <v>28</v>
      </c>
      <c r="D625" s="45">
        <v>2.2999999999999998</v>
      </c>
      <c r="E625" s="45">
        <v>888</v>
      </c>
      <c r="F625" s="45">
        <v>30</v>
      </c>
      <c r="G625" s="45">
        <v>1.33</v>
      </c>
      <c r="H625" s="45">
        <v>0.11799999999999999</v>
      </c>
    </row>
    <row r="626" spans="1:8" x14ac:dyDescent="0.35">
      <c r="A626" s="45">
        <v>138</v>
      </c>
      <c r="B626" s="45">
        <v>11</v>
      </c>
      <c r="C626" s="45" t="s">
        <v>23</v>
      </c>
      <c r="D626" s="45">
        <v>19.2</v>
      </c>
      <c r="E626" s="45">
        <v>886</v>
      </c>
      <c r="F626" s="45">
        <v>30</v>
      </c>
      <c r="G626" s="45">
        <v>1.56</v>
      </c>
      <c r="H626" s="45">
        <v>0.12</v>
      </c>
    </row>
    <row r="627" spans="1:8" x14ac:dyDescent="0.35">
      <c r="A627" s="45">
        <v>137</v>
      </c>
      <c r="B627" s="45">
        <v>11</v>
      </c>
      <c r="C627" s="45" t="s">
        <v>23</v>
      </c>
      <c r="D627" s="45">
        <v>19.100000000000001</v>
      </c>
      <c r="E627" s="45">
        <v>888</v>
      </c>
      <c r="F627" s="45">
        <v>30</v>
      </c>
      <c r="G627" s="45">
        <v>1.33</v>
      </c>
      <c r="H627" s="45">
        <v>0.11799999999999999</v>
      </c>
    </row>
    <row r="628" spans="1:8" x14ac:dyDescent="0.35">
      <c r="A628" s="45">
        <v>136</v>
      </c>
      <c r="B628" s="45">
        <v>11</v>
      </c>
      <c r="C628" s="45" t="s">
        <v>23</v>
      </c>
      <c r="D628" s="45">
        <v>15</v>
      </c>
      <c r="E628" s="45">
        <v>891</v>
      </c>
      <c r="F628" s="45">
        <v>30</v>
      </c>
      <c r="G628" s="45">
        <v>1</v>
      </c>
      <c r="H628" s="45">
        <v>0.11899999999999999</v>
      </c>
    </row>
    <row r="629" spans="1:8" x14ac:dyDescent="0.35">
      <c r="A629" s="45">
        <v>135</v>
      </c>
      <c r="B629" s="45">
        <v>11</v>
      </c>
      <c r="C629" s="45" t="s">
        <v>23</v>
      </c>
      <c r="D629" s="45">
        <v>14.6</v>
      </c>
      <c r="E629" s="45">
        <v>888</v>
      </c>
      <c r="F629" s="45">
        <v>30</v>
      </c>
      <c r="G629" s="45">
        <v>1.33</v>
      </c>
      <c r="H629" s="45">
        <v>0.11799999999999999</v>
      </c>
    </row>
    <row r="630" spans="1:8" x14ac:dyDescent="0.35">
      <c r="A630" s="45">
        <v>134</v>
      </c>
      <c r="B630" s="45">
        <v>9</v>
      </c>
      <c r="C630" s="45" t="s">
        <v>44</v>
      </c>
      <c r="D630" s="45">
        <v>1.2</v>
      </c>
      <c r="E630" s="45">
        <v>888</v>
      </c>
      <c r="F630" s="45">
        <v>30</v>
      </c>
      <c r="G630" s="45">
        <v>1.33</v>
      </c>
      <c r="H630" s="45">
        <v>0.11899999999999999</v>
      </c>
    </row>
    <row r="631" spans="1:8" x14ac:dyDescent="0.35">
      <c r="A631" s="45">
        <v>133</v>
      </c>
      <c r="B631" s="45">
        <v>2</v>
      </c>
      <c r="C631" s="45" t="s">
        <v>74</v>
      </c>
      <c r="D631" s="45">
        <v>1.3</v>
      </c>
      <c r="E631" s="45">
        <v>889</v>
      </c>
      <c r="F631" s="45">
        <v>30</v>
      </c>
      <c r="G631" s="45">
        <v>1.22</v>
      </c>
      <c r="H631" s="45">
        <v>0.11799999999999999</v>
      </c>
    </row>
    <row r="632" spans="1:8" x14ac:dyDescent="0.35">
      <c r="A632" s="45">
        <v>132</v>
      </c>
      <c r="B632" s="45">
        <v>3</v>
      </c>
      <c r="C632" s="45" t="s">
        <v>20</v>
      </c>
      <c r="D632" s="45">
        <v>1.2</v>
      </c>
      <c r="E632" s="45">
        <v>888</v>
      </c>
      <c r="F632" s="45">
        <v>30</v>
      </c>
      <c r="G632" s="45">
        <v>1.33</v>
      </c>
      <c r="H632" s="45">
        <v>0.11799999999999999</v>
      </c>
    </row>
    <row r="633" spans="1:8" x14ac:dyDescent="0.35">
      <c r="A633" s="45">
        <v>131</v>
      </c>
      <c r="B633" s="45">
        <v>11</v>
      </c>
      <c r="C633" s="45" t="s">
        <v>23</v>
      </c>
      <c r="D633" s="45">
        <v>21.1</v>
      </c>
      <c r="E633" s="45">
        <v>889</v>
      </c>
      <c r="F633" s="45">
        <v>30</v>
      </c>
      <c r="G633" s="45">
        <v>1.22</v>
      </c>
      <c r="H633" s="45">
        <v>0.11899999999999999</v>
      </c>
    </row>
    <row r="634" spans="1:8" x14ac:dyDescent="0.35">
      <c r="A634" s="45">
        <v>130</v>
      </c>
      <c r="B634" s="45">
        <v>4</v>
      </c>
      <c r="C634" s="45" t="s">
        <v>28</v>
      </c>
      <c r="D634" s="45">
        <v>2.2999999999999998</v>
      </c>
      <c r="E634" s="45">
        <v>889</v>
      </c>
      <c r="F634" s="45">
        <v>30</v>
      </c>
      <c r="G634" s="45">
        <v>1.22</v>
      </c>
      <c r="H634" s="45">
        <v>0.11899999999999999</v>
      </c>
    </row>
    <row r="635" spans="1:8" x14ac:dyDescent="0.35">
      <c r="A635" s="45">
        <v>129</v>
      </c>
      <c r="B635" s="45">
        <v>5</v>
      </c>
      <c r="C635" s="45" t="s">
        <v>35</v>
      </c>
      <c r="D635" s="45">
        <v>1</v>
      </c>
      <c r="E635" s="45">
        <v>889</v>
      </c>
      <c r="F635" s="45">
        <v>30</v>
      </c>
      <c r="G635" s="45">
        <v>1.22</v>
      </c>
      <c r="H635" s="45">
        <v>0.11799999999999999</v>
      </c>
    </row>
    <row r="636" spans="1:8" x14ac:dyDescent="0.35">
      <c r="A636" s="45">
        <v>128</v>
      </c>
      <c r="B636" s="45">
        <v>7</v>
      </c>
      <c r="C636" s="45" t="s">
        <v>17</v>
      </c>
      <c r="D636" s="45">
        <v>2.8</v>
      </c>
      <c r="E636" s="45">
        <v>888</v>
      </c>
      <c r="F636" s="45">
        <v>30</v>
      </c>
      <c r="G636" s="45">
        <v>1.33</v>
      </c>
      <c r="H636" s="45">
        <v>0.11899999999999999</v>
      </c>
    </row>
    <row r="637" spans="1:8" x14ac:dyDescent="0.35">
      <c r="A637" s="45">
        <v>127</v>
      </c>
      <c r="B637" s="45">
        <v>11</v>
      </c>
      <c r="C637" s="45" t="s">
        <v>23</v>
      </c>
      <c r="D637" s="45">
        <v>14.7</v>
      </c>
      <c r="E637" s="45">
        <v>888</v>
      </c>
      <c r="F637" s="45">
        <v>30</v>
      </c>
      <c r="G637" s="45">
        <v>1.33</v>
      </c>
      <c r="H637" s="45">
        <v>0.11799999999999999</v>
      </c>
    </row>
    <row r="638" spans="1:8" x14ac:dyDescent="0.35">
      <c r="A638" s="45">
        <v>126</v>
      </c>
      <c r="B638" s="45">
        <v>11</v>
      </c>
      <c r="C638" s="45" t="s">
        <v>23</v>
      </c>
      <c r="D638" s="45">
        <v>12.3</v>
      </c>
      <c r="E638" s="45">
        <v>889</v>
      </c>
      <c r="F638" s="45">
        <v>30</v>
      </c>
      <c r="G638" s="45">
        <v>1.22</v>
      </c>
      <c r="H638" s="45">
        <v>0.11799999999999999</v>
      </c>
    </row>
    <row r="639" spans="1:8" x14ac:dyDescent="0.35">
      <c r="A639" s="45">
        <v>125</v>
      </c>
      <c r="B639" s="45">
        <v>4</v>
      </c>
      <c r="C639" s="45" t="s">
        <v>28</v>
      </c>
      <c r="D639" s="45">
        <v>2.2999999999999998</v>
      </c>
      <c r="E639" s="45">
        <v>888</v>
      </c>
      <c r="F639" s="45">
        <v>30</v>
      </c>
      <c r="G639" s="45">
        <v>1.33</v>
      </c>
      <c r="H639" s="45">
        <v>0.11899999999999999</v>
      </c>
    </row>
    <row r="640" spans="1:8" x14ac:dyDescent="0.35">
      <c r="A640" s="45">
        <v>124</v>
      </c>
      <c r="B640" s="45">
        <v>11</v>
      </c>
      <c r="C640" s="45" t="s">
        <v>23</v>
      </c>
      <c r="D640" s="45">
        <v>21.1</v>
      </c>
      <c r="E640" s="45">
        <v>889</v>
      </c>
      <c r="F640" s="45">
        <v>30</v>
      </c>
      <c r="G640" s="45">
        <v>1.22</v>
      </c>
      <c r="H640" s="45">
        <v>0.11899999999999999</v>
      </c>
    </row>
    <row r="641" spans="1:8" x14ac:dyDescent="0.35">
      <c r="A641" s="45">
        <v>123</v>
      </c>
      <c r="B641" s="45">
        <v>3</v>
      </c>
      <c r="C641" s="45" t="s">
        <v>20</v>
      </c>
      <c r="D641" s="45">
        <v>1.1000000000000001</v>
      </c>
      <c r="E641" s="45">
        <v>891</v>
      </c>
      <c r="F641" s="45">
        <v>30</v>
      </c>
      <c r="G641" s="45">
        <v>1</v>
      </c>
      <c r="H641" s="45">
        <v>0.11799999999999999</v>
      </c>
    </row>
    <row r="642" spans="1:8" x14ac:dyDescent="0.35">
      <c r="A642" s="45">
        <v>122</v>
      </c>
      <c r="B642" s="45">
        <v>11</v>
      </c>
      <c r="C642" s="45" t="s">
        <v>23</v>
      </c>
      <c r="D642" s="45">
        <v>12.3</v>
      </c>
      <c r="E642" s="45">
        <v>891</v>
      </c>
      <c r="F642" s="45">
        <v>30</v>
      </c>
      <c r="G642" s="45">
        <v>1</v>
      </c>
      <c r="H642" s="45">
        <v>0.11799999999999999</v>
      </c>
    </row>
    <row r="643" spans="1:8" x14ac:dyDescent="0.35">
      <c r="A643" s="45">
        <v>121</v>
      </c>
      <c r="B643" s="45">
        <v>4</v>
      </c>
      <c r="C643" s="45" t="s">
        <v>28</v>
      </c>
      <c r="D643" s="45">
        <v>2.2999999999999998</v>
      </c>
      <c r="E643" s="45">
        <v>889</v>
      </c>
      <c r="F643" s="45">
        <v>30</v>
      </c>
      <c r="G643" s="45">
        <v>1.22</v>
      </c>
      <c r="H643" s="45">
        <v>0.11799999999999999</v>
      </c>
    </row>
    <row r="644" spans="1:8" x14ac:dyDescent="0.35">
      <c r="A644" s="45">
        <v>120</v>
      </c>
      <c r="B644" s="45">
        <v>11</v>
      </c>
      <c r="C644" s="45" t="s">
        <v>23</v>
      </c>
      <c r="D644" s="45">
        <v>23.8</v>
      </c>
      <c r="E644" s="45">
        <v>891</v>
      </c>
      <c r="F644" s="45">
        <v>30</v>
      </c>
      <c r="G644" s="45">
        <v>1</v>
      </c>
      <c r="H644" s="45">
        <v>0.11799999999999999</v>
      </c>
    </row>
    <row r="645" spans="1:8" x14ac:dyDescent="0.35">
      <c r="A645" s="45">
        <v>119</v>
      </c>
      <c r="B645" s="45">
        <v>11</v>
      </c>
      <c r="C645" s="45" t="s">
        <v>23</v>
      </c>
      <c r="D645" s="45">
        <v>19.600000000000001</v>
      </c>
      <c r="E645" s="45">
        <v>889</v>
      </c>
      <c r="F645" s="45">
        <v>30</v>
      </c>
      <c r="G645" s="45">
        <v>1.22</v>
      </c>
      <c r="H645" s="45">
        <v>0.11899999999999999</v>
      </c>
    </row>
    <row r="646" spans="1:8" x14ac:dyDescent="0.35">
      <c r="A646" s="45">
        <v>118</v>
      </c>
      <c r="B646" s="45">
        <v>1</v>
      </c>
      <c r="C646" s="45" t="s">
        <v>41</v>
      </c>
      <c r="D646" s="45">
        <v>2.9</v>
      </c>
      <c r="E646" s="45">
        <v>891</v>
      </c>
      <c r="F646" s="45">
        <v>30</v>
      </c>
      <c r="G646" s="45">
        <v>1</v>
      </c>
      <c r="H646" s="45">
        <v>0.11799999999999999</v>
      </c>
    </row>
    <row r="647" spans="1:8" x14ac:dyDescent="0.35">
      <c r="A647" s="45">
        <v>117</v>
      </c>
      <c r="B647" s="45">
        <v>8</v>
      </c>
      <c r="C647" s="45" t="s">
        <v>38</v>
      </c>
      <c r="D647" s="45">
        <v>2.2999999999999998</v>
      </c>
      <c r="E647" s="45">
        <v>891</v>
      </c>
      <c r="F647" s="45">
        <v>30</v>
      </c>
      <c r="G647" s="45">
        <v>1</v>
      </c>
      <c r="H647" s="45">
        <v>0.11799999999999999</v>
      </c>
    </row>
    <row r="648" spans="1:8" x14ac:dyDescent="0.35">
      <c r="A648" s="45">
        <v>116</v>
      </c>
      <c r="B648" s="45">
        <v>7</v>
      </c>
      <c r="C648" s="45" t="s">
        <v>17</v>
      </c>
      <c r="D648" s="45">
        <v>2.9</v>
      </c>
      <c r="E648" s="45">
        <v>890</v>
      </c>
      <c r="F648" s="45">
        <v>30</v>
      </c>
      <c r="G648" s="45">
        <v>1.1100000000000001</v>
      </c>
      <c r="H648" s="45">
        <v>0.11799999999999999</v>
      </c>
    </row>
    <row r="649" spans="1:8" x14ac:dyDescent="0.35">
      <c r="A649" s="45">
        <v>115</v>
      </c>
      <c r="B649" s="45">
        <v>11</v>
      </c>
      <c r="C649" s="45" t="s">
        <v>23</v>
      </c>
      <c r="D649" s="45">
        <v>14.8</v>
      </c>
      <c r="E649" s="45">
        <v>890</v>
      </c>
      <c r="F649" s="45">
        <v>30</v>
      </c>
      <c r="G649" s="45">
        <v>1.1100000000000001</v>
      </c>
      <c r="H649" s="45">
        <v>0.11799999999999999</v>
      </c>
    </row>
    <row r="650" spans="1:8" x14ac:dyDescent="0.35">
      <c r="A650" s="45">
        <v>114</v>
      </c>
      <c r="B650" s="45">
        <v>2</v>
      </c>
      <c r="C650" s="45" t="s">
        <v>74</v>
      </c>
      <c r="D650" s="45">
        <v>1.2</v>
      </c>
      <c r="E650" s="45">
        <v>891</v>
      </c>
      <c r="F650" s="45">
        <v>30</v>
      </c>
      <c r="G650" s="45">
        <v>1</v>
      </c>
      <c r="H650" s="45">
        <v>0.11700000000000001</v>
      </c>
    </row>
    <row r="651" spans="1:8" x14ac:dyDescent="0.35">
      <c r="A651" s="45">
        <v>113</v>
      </c>
      <c r="B651" s="45">
        <v>9</v>
      </c>
      <c r="C651" s="45" t="s">
        <v>44</v>
      </c>
      <c r="D651" s="45">
        <v>1.2</v>
      </c>
      <c r="E651" s="45">
        <v>892</v>
      </c>
      <c r="F651" s="45">
        <v>30</v>
      </c>
      <c r="G651" s="45">
        <v>0.89</v>
      </c>
      <c r="H651" s="45">
        <v>0.11799999999999999</v>
      </c>
    </row>
    <row r="652" spans="1:8" x14ac:dyDescent="0.35">
      <c r="A652" s="45">
        <v>112</v>
      </c>
      <c r="B652" s="45">
        <v>11</v>
      </c>
      <c r="C652" s="45" t="s">
        <v>23</v>
      </c>
      <c r="D652" s="45">
        <v>14.3</v>
      </c>
      <c r="E652" s="45">
        <v>889</v>
      </c>
      <c r="F652" s="45">
        <v>30</v>
      </c>
      <c r="G652" s="45">
        <v>1.22</v>
      </c>
      <c r="H652" s="45">
        <v>0.11799999999999999</v>
      </c>
    </row>
    <row r="653" spans="1:8" x14ac:dyDescent="0.35">
      <c r="A653" s="45">
        <v>111</v>
      </c>
      <c r="B653" s="45">
        <v>5</v>
      </c>
      <c r="C653" s="45" t="s">
        <v>35</v>
      </c>
      <c r="D653" s="45">
        <v>1.1000000000000001</v>
      </c>
      <c r="E653" s="45">
        <v>889</v>
      </c>
      <c r="F653" s="45">
        <v>30</v>
      </c>
      <c r="G653" s="45">
        <v>1.22</v>
      </c>
      <c r="H653" s="45">
        <v>0.11799999999999999</v>
      </c>
    </row>
    <row r="654" spans="1:8" x14ac:dyDescent="0.35">
      <c r="A654" s="45">
        <v>110</v>
      </c>
      <c r="B654" s="45">
        <v>11</v>
      </c>
      <c r="C654" s="45" t="s">
        <v>23</v>
      </c>
      <c r="D654" s="45">
        <v>17.5</v>
      </c>
      <c r="E654" s="45">
        <v>890</v>
      </c>
      <c r="F654" s="45">
        <v>30</v>
      </c>
      <c r="G654" s="45">
        <v>1.1100000000000001</v>
      </c>
      <c r="H654" s="45">
        <v>0.11799999999999999</v>
      </c>
    </row>
    <row r="655" spans="1:8" x14ac:dyDescent="0.35">
      <c r="A655" s="45">
        <v>109</v>
      </c>
      <c r="B655" s="45">
        <v>11</v>
      </c>
      <c r="C655" s="45" t="s">
        <v>23</v>
      </c>
      <c r="D655" s="45">
        <v>21</v>
      </c>
      <c r="E655" s="45">
        <v>889</v>
      </c>
      <c r="F655" s="45">
        <v>30</v>
      </c>
      <c r="G655" s="45">
        <v>1.22</v>
      </c>
      <c r="H655" s="45">
        <v>0.11799999999999999</v>
      </c>
    </row>
    <row r="656" spans="1:8" x14ac:dyDescent="0.35">
      <c r="A656" s="45">
        <v>108</v>
      </c>
      <c r="B656" s="45">
        <v>4</v>
      </c>
      <c r="C656" s="45" t="s">
        <v>28</v>
      </c>
      <c r="D656" s="45">
        <v>2.2999999999999998</v>
      </c>
      <c r="E656" s="45">
        <v>891</v>
      </c>
      <c r="F656" s="45">
        <v>30</v>
      </c>
      <c r="G656" s="45">
        <v>1</v>
      </c>
      <c r="H656" s="45">
        <v>0.11899999999999999</v>
      </c>
    </row>
    <row r="657" spans="1:8" x14ac:dyDescent="0.35">
      <c r="A657" s="45">
        <v>107</v>
      </c>
      <c r="B657" s="45">
        <v>3</v>
      </c>
      <c r="C657" s="45" t="s">
        <v>20</v>
      </c>
      <c r="D657" s="45">
        <v>1.2</v>
      </c>
      <c r="E657" s="45">
        <v>889</v>
      </c>
      <c r="F657" s="45">
        <v>30</v>
      </c>
      <c r="G657" s="45">
        <v>1.22</v>
      </c>
      <c r="H657" s="45">
        <v>0.11899999999999999</v>
      </c>
    </row>
    <row r="658" spans="1:8" x14ac:dyDescent="0.35">
      <c r="A658" s="45">
        <v>106</v>
      </c>
      <c r="B658" s="45">
        <v>11</v>
      </c>
      <c r="C658" s="45" t="s">
        <v>23</v>
      </c>
      <c r="D658" s="45">
        <v>5.7</v>
      </c>
      <c r="E658" s="45">
        <v>889</v>
      </c>
      <c r="F658" s="45">
        <v>30</v>
      </c>
      <c r="G658" s="45">
        <v>1.22</v>
      </c>
      <c r="H658" s="45">
        <v>0.11799999999999999</v>
      </c>
    </row>
    <row r="659" spans="1:8" x14ac:dyDescent="0.35">
      <c r="A659" s="45">
        <v>105</v>
      </c>
      <c r="B659" s="45">
        <v>6</v>
      </c>
      <c r="C659" s="45" t="s">
        <v>14</v>
      </c>
      <c r="D659" s="45">
        <v>1.2</v>
      </c>
      <c r="E659" s="45">
        <v>889</v>
      </c>
      <c r="F659" s="45">
        <v>30</v>
      </c>
      <c r="G659" s="45">
        <v>1.22</v>
      </c>
      <c r="H659" s="45">
        <v>0.11799999999999999</v>
      </c>
    </row>
    <row r="660" spans="1:8" x14ac:dyDescent="0.35">
      <c r="A660" s="45">
        <v>104</v>
      </c>
      <c r="B660" s="45">
        <v>11</v>
      </c>
      <c r="C660" s="45" t="s">
        <v>23</v>
      </c>
      <c r="D660" s="45">
        <v>18.600000000000001</v>
      </c>
      <c r="E660" s="45">
        <v>888</v>
      </c>
      <c r="F660" s="45">
        <v>30</v>
      </c>
      <c r="G660" s="45">
        <v>1.33</v>
      </c>
      <c r="H660" s="45">
        <v>0.11899999999999999</v>
      </c>
    </row>
    <row r="661" spans="1:8" x14ac:dyDescent="0.35">
      <c r="A661" s="45">
        <v>103</v>
      </c>
      <c r="B661" s="45">
        <v>11</v>
      </c>
      <c r="C661" s="45" t="s">
        <v>23</v>
      </c>
      <c r="D661" s="45">
        <v>14.5</v>
      </c>
      <c r="E661" s="45">
        <v>889</v>
      </c>
      <c r="F661" s="45">
        <v>30</v>
      </c>
      <c r="G661" s="45">
        <v>1.22</v>
      </c>
      <c r="H661" s="45">
        <v>0.11799999999999999</v>
      </c>
    </row>
    <row r="662" spans="1:8" x14ac:dyDescent="0.35">
      <c r="A662" s="45">
        <v>102</v>
      </c>
      <c r="B662" s="45">
        <v>3</v>
      </c>
      <c r="C662" s="45" t="s">
        <v>20</v>
      </c>
      <c r="D662" s="45">
        <v>1.1000000000000001</v>
      </c>
      <c r="E662" s="45">
        <v>891</v>
      </c>
      <c r="F662" s="45">
        <v>30</v>
      </c>
      <c r="G662" s="45">
        <v>1</v>
      </c>
      <c r="H662" s="45">
        <v>0.11799999999999999</v>
      </c>
    </row>
    <row r="663" spans="1:8" x14ac:dyDescent="0.35">
      <c r="A663" s="45">
        <v>101</v>
      </c>
      <c r="B663" s="45">
        <v>1</v>
      </c>
      <c r="C663" s="45" t="s">
        <v>41</v>
      </c>
      <c r="D663" s="45">
        <v>2.9</v>
      </c>
      <c r="E663" s="45">
        <v>890</v>
      </c>
      <c r="F663" s="45">
        <v>30</v>
      </c>
      <c r="G663" s="45">
        <v>1.1100000000000001</v>
      </c>
      <c r="H663" s="45">
        <v>0.11799999999999999</v>
      </c>
    </row>
    <row r="664" spans="1:8" x14ac:dyDescent="0.35">
      <c r="A664" s="44" t="s">
        <v>1626</v>
      </c>
      <c r="B664" s="44" t="s">
        <v>1627</v>
      </c>
      <c r="C664" s="44" t="s">
        <v>4</v>
      </c>
      <c r="D664" s="44" t="s">
        <v>5</v>
      </c>
      <c r="E664" s="44" t="s">
        <v>6</v>
      </c>
      <c r="F664" s="44" t="s">
        <v>1629</v>
      </c>
      <c r="G664" s="44" t="s">
        <v>1628</v>
      </c>
      <c r="H664" s="44" t="s">
        <v>10</v>
      </c>
    </row>
    <row r="665" spans="1:8" x14ac:dyDescent="0.35">
      <c r="A665" s="45">
        <v>100</v>
      </c>
      <c r="B665" s="45">
        <v>11</v>
      </c>
      <c r="C665" s="45" t="s">
        <v>23</v>
      </c>
      <c r="D665" s="45">
        <v>19.899999999999999</v>
      </c>
      <c r="E665" s="45">
        <v>739</v>
      </c>
      <c r="F665" s="45">
        <v>25</v>
      </c>
      <c r="G665" s="45">
        <v>1.47</v>
      </c>
      <c r="H665" s="45">
        <v>9.8000000000000004E-2</v>
      </c>
    </row>
    <row r="666" spans="1:8" x14ac:dyDescent="0.35">
      <c r="A666" s="45">
        <v>99</v>
      </c>
      <c r="B666" s="45">
        <v>11</v>
      </c>
      <c r="C666" s="45" t="s">
        <v>23</v>
      </c>
      <c r="D666" s="45">
        <v>21.5</v>
      </c>
      <c r="E666" s="45">
        <v>739</v>
      </c>
      <c r="F666" s="45">
        <v>25</v>
      </c>
      <c r="G666" s="45">
        <v>1.47</v>
      </c>
      <c r="H666" s="45">
        <v>9.8000000000000004E-2</v>
      </c>
    </row>
    <row r="667" spans="1:8" x14ac:dyDescent="0.35">
      <c r="A667" s="45">
        <v>98</v>
      </c>
      <c r="B667" s="45">
        <v>11</v>
      </c>
      <c r="C667" s="45" t="s">
        <v>23</v>
      </c>
      <c r="D667" s="45">
        <v>15.2</v>
      </c>
      <c r="E667" s="45">
        <v>740</v>
      </c>
      <c r="F667" s="45">
        <v>25</v>
      </c>
      <c r="G667" s="45">
        <v>1.33</v>
      </c>
      <c r="H667" s="45">
        <v>9.8000000000000004E-2</v>
      </c>
    </row>
    <row r="668" spans="1:8" x14ac:dyDescent="0.35">
      <c r="A668" s="45">
        <v>97</v>
      </c>
      <c r="B668" s="45">
        <v>7</v>
      </c>
      <c r="C668" s="45" t="s">
        <v>17</v>
      </c>
      <c r="D668" s="45">
        <v>2.9</v>
      </c>
      <c r="E668" s="45">
        <v>741</v>
      </c>
      <c r="F668" s="45">
        <v>25</v>
      </c>
      <c r="G668" s="45">
        <v>1.2</v>
      </c>
      <c r="H668" s="45">
        <v>9.8000000000000004E-2</v>
      </c>
    </row>
    <row r="669" spans="1:8" x14ac:dyDescent="0.35">
      <c r="A669" s="45">
        <v>96</v>
      </c>
      <c r="B669" s="45">
        <v>11</v>
      </c>
      <c r="C669" s="45" t="s">
        <v>23</v>
      </c>
      <c r="D669" s="45">
        <v>10.3</v>
      </c>
      <c r="E669" s="45">
        <v>738</v>
      </c>
      <c r="F669" s="45">
        <v>25</v>
      </c>
      <c r="G669" s="45">
        <v>1.6</v>
      </c>
      <c r="H669" s="45">
        <v>9.8000000000000004E-2</v>
      </c>
    </row>
    <row r="670" spans="1:8" x14ac:dyDescent="0.35">
      <c r="A670" s="45">
        <v>95</v>
      </c>
      <c r="B670" s="45">
        <v>8</v>
      </c>
      <c r="C670" s="45" t="s">
        <v>38</v>
      </c>
      <c r="D670" s="45">
        <v>2.1</v>
      </c>
      <c r="E670" s="45">
        <v>739</v>
      </c>
      <c r="F670" s="45">
        <v>25</v>
      </c>
      <c r="G670" s="45">
        <v>1.47</v>
      </c>
      <c r="H670" s="45">
        <v>9.8000000000000004E-2</v>
      </c>
    </row>
    <row r="671" spans="1:8" x14ac:dyDescent="0.35">
      <c r="A671" s="45">
        <v>94</v>
      </c>
      <c r="B671" s="45">
        <v>3</v>
      </c>
      <c r="C671" s="45" t="s">
        <v>20</v>
      </c>
      <c r="D671" s="45">
        <v>1.2</v>
      </c>
      <c r="E671" s="45">
        <v>740</v>
      </c>
      <c r="F671" s="45">
        <v>25</v>
      </c>
      <c r="G671" s="45">
        <v>1.33</v>
      </c>
      <c r="H671" s="45">
        <v>9.8000000000000004E-2</v>
      </c>
    </row>
    <row r="672" spans="1:8" x14ac:dyDescent="0.35">
      <c r="A672" s="45">
        <v>93</v>
      </c>
      <c r="B672" s="45">
        <v>1</v>
      </c>
      <c r="C672" s="45" t="s">
        <v>41</v>
      </c>
      <c r="D672" s="45">
        <v>2.8</v>
      </c>
      <c r="E672" s="45">
        <v>740</v>
      </c>
      <c r="F672" s="45">
        <v>25</v>
      </c>
      <c r="G672" s="45">
        <v>1.33</v>
      </c>
      <c r="H672" s="45">
        <v>9.8000000000000004E-2</v>
      </c>
    </row>
    <row r="673" spans="1:8" x14ac:dyDescent="0.35">
      <c r="A673" s="45">
        <v>92</v>
      </c>
      <c r="B673" s="45">
        <v>11</v>
      </c>
      <c r="C673" s="45" t="s">
        <v>23</v>
      </c>
      <c r="D673" s="45">
        <v>6.1</v>
      </c>
      <c r="E673" s="45">
        <v>739</v>
      </c>
      <c r="F673" s="45">
        <v>25</v>
      </c>
      <c r="G673" s="45">
        <v>1.47</v>
      </c>
      <c r="H673" s="45">
        <v>9.8000000000000004E-2</v>
      </c>
    </row>
    <row r="674" spans="1:8" x14ac:dyDescent="0.35">
      <c r="A674" s="45">
        <v>91</v>
      </c>
      <c r="B674" s="45">
        <v>4</v>
      </c>
      <c r="C674" s="45" t="s">
        <v>28</v>
      </c>
      <c r="D674" s="45">
        <v>2.2999999999999998</v>
      </c>
      <c r="E674" s="45">
        <v>741</v>
      </c>
      <c r="F674" s="45">
        <v>25</v>
      </c>
      <c r="G674" s="45">
        <v>1.2</v>
      </c>
      <c r="H674" s="45">
        <v>9.8000000000000004E-2</v>
      </c>
    </row>
    <row r="675" spans="1:8" x14ac:dyDescent="0.35">
      <c r="A675" s="45">
        <v>90</v>
      </c>
      <c r="B675" s="45">
        <v>11</v>
      </c>
      <c r="C675" s="45" t="s">
        <v>23</v>
      </c>
      <c r="D675" s="45">
        <v>20</v>
      </c>
      <c r="E675" s="45">
        <v>738</v>
      </c>
      <c r="F675" s="45">
        <v>25</v>
      </c>
      <c r="G675" s="45">
        <v>1.6</v>
      </c>
      <c r="H675" s="45">
        <v>9.8000000000000004E-2</v>
      </c>
    </row>
    <row r="676" spans="1:8" x14ac:dyDescent="0.35">
      <c r="A676" s="45">
        <v>89</v>
      </c>
      <c r="B676" s="45">
        <v>8</v>
      </c>
      <c r="C676" s="45" t="s">
        <v>38</v>
      </c>
      <c r="D676" s="45">
        <v>2.2999999999999998</v>
      </c>
      <c r="E676" s="45">
        <v>737</v>
      </c>
      <c r="F676" s="45">
        <v>25</v>
      </c>
      <c r="G676" s="45">
        <v>1.73</v>
      </c>
      <c r="H676" s="45">
        <v>9.8000000000000004E-2</v>
      </c>
    </row>
    <row r="677" spans="1:8" x14ac:dyDescent="0.35">
      <c r="A677" s="45">
        <v>88</v>
      </c>
      <c r="B677" s="45">
        <v>3</v>
      </c>
      <c r="C677" s="45" t="s">
        <v>20</v>
      </c>
      <c r="D677" s="45">
        <v>1.2</v>
      </c>
      <c r="E677" s="45">
        <v>739</v>
      </c>
      <c r="F677" s="45">
        <v>25</v>
      </c>
      <c r="G677" s="45">
        <v>1.47</v>
      </c>
      <c r="H677" s="45">
        <v>9.8000000000000004E-2</v>
      </c>
    </row>
    <row r="678" spans="1:8" x14ac:dyDescent="0.35">
      <c r="A678" s="45">
        <v>87</v>
      </c>
      <c r="B678" s="45">
        <v>6</v>
      </c>
      <c r="C678" s="45" t="s">
        <v>14</v>
      </c>
      <c r="D678" s="45">
        <v>1.2</v>
      </c>
      <c r="E678" s="45">
        <v>739</v>
      </c>
      <c r="F678" s="45">
        <v>25</v>
      </c>
      <c r="G678" s="45">
        <v>1.47</v>
      </c>
      <c r="H678" s="45">
        <v>9.9000000000000005E-2</v>
      </c>
    </row>
    <row r="679" spans="1:8" x14ac:dyDescent="0.35">
      <c r="A679" s="45">
        <v>86</v>
      </c>
      <c r="B679" s="45">
        <v>4</v>
      </c>
      <c r="C679" s="45" t="s">
        <v>28</v>
      </c>
      <c r="D679" s="45">
        <v>2.2999999999999998</v>
      </c>
      <c r="E679" s="45">
        <v>739</v>
      </c>
      <c r="F679" s="45">
        <v>25</v>
      </c>
      <c r="G679" s="45">
        <v>1.47</v>
      </c>
      <c r="H679" s="45">
        <v>9.9000000000000005E-2</v>
      </c>
    </row>
    <row r="680" spans="1:8" x14ac:dyDescent="0.35">
      <c r="A680" s="45">
        <v>85</v>
      </c>
      <c r="B680" s="45">
        <v>7</v>
      </c>
      <c r="C680" s="45" t="s">
        <v>17</v>
      </c>
      <c r="D680" s="45">
        <v>2.8</v>
      </c>
      <c r="E680" s="45">
        <v>739</v>
      </c>
      <c r="F680" s="45">
        <v>25</v>
      </c>
      <c r="G680" s="45">
        <v>1.47</v>
      </c>
      <c r="H680" s="45">
        <v>9.8000000000000004E-2</v>
      </c>
    </row>
    <row r="681" spans="1:8" x14ac:dyDescent="0.35">
      <c r="A681" s="45">
        <v>84</v>
      </c>
      <c r="B681" s="45">
        <v>1</v>
      </c>
      <c r="C681" s="45" t="s">
        <v>41</v>
      </c>
      <c r="D681" s="45">
        <v>2.9</v>
      </c>
      <c r="E681" s="45">
        <v>738</v>
      </c>
      <c r="F681" s="45">
        <v>25</v>
      </c>
      <c r="G681" s="45">
        <v>1.6</v>
      </c>
      <c r="H681" s="45">
        <v>9.9000000000000005E-2</v>
      </c>
    </row>
    <row r="682" spans="1:8" x14ac:dyDescent="0.35">
      <c r="A682" s="45">
        <v>83</v>
      </c>
      <c r="B682" s="45">
        <v>11</v>
      </c>
      <c r="C682" s="45" t="s">
        <v>23</v>
      </c>
      <c r="D682" s="45">
        <v>21.6</v>
      </c>
      <c r="E682" s="45">
        <v>739</v>
      </c>
      <c r="F682" s="45">
        <v>25</v>
      </c>
      <c r="G682" s="45">
        <v>1.47</v>
      </c>
      <c r="H682" s="45">
        <v>9.8000000000000004E-2</v>
      </c>
    </row>
    <row r="683" spans="1:8" x14ac:dyDescent="0.35">
      <c r="A683" s="45">
        <v>82</v>
      </c>
      <c r="B683" s="45">
        <v>2</v>
      </c>
      <c r="C683" s="45" t="s">
        <v>74</v>
      </c>
      <c r="D683" s="45">
        <v>1.3</v>
      </c>
      <c r="E683" s="45">
        <v>739</v>
      </c>
      <c r="F683" s="45">
        <v>25</v>
      </c>
      <c r="G683" s="45">
        <v>1.47</v>
      </c>
      <c r="H683" s="45">
        <v>9.8000000000000004E-2</v>
      </c>
    </row>
    <row r="684" spans="1:8" x14ac:dyDescent="0.35">
      <c r="A684" s="45">
        <v>81</v>
      </c>
      <c r="B684" s="45">
        <v>11</v>
      </c>
      <c r="C684" s="45" t="s">
        <v>23</v>
      </c>
      <c r="D684" s="45">
        <v>17.3</v>
      </c>
      <c r="E684" s="45">
        <v>739</v>
      </c>
      <c r="F684" s="45">
        <v>25</v>
      </c>
      <c r="G684" s="45">
        <v>1.47</v>
      </c>
      <c r="H684" s="45">
        <v>9.8000000000000004E-2</v>
      </c>
    </row>
    <row r="685" spans="1:8" x14ac:dyDescent="0.35">
      <c r="A685" s="45">
        <v>80</v>
      </c>
      <c r="B685" s="45">
        <v>11</v>
      </c>
      <c r="C685" s="45" t="s">
        <v>23</v>
      </c>
      <c r="D685" s="45">
        <v>19.100000000000001</v>
      </c>
      <c r="E685" s="45">
        <v>739</v>
      </c>
      <c r="F685" s="45">
        <v>25</v>
      </c>
      <c r="G685" s="45">
        <v>1.47</v>
      </c>
      <c r="H685" s="45">
        <v>9.8000000000000004E-2</v>
      </c>
    </row>
    <row r="686" spans="1:8" x14ac:dyDescent="0.35">
      <c r="A686" s="45">
        <v>79</v>
      </c>
      <c r="B686" s="45">
        <v>11</v>
      </c>
      <c r="C686" s="45" t="s">
        <v>23</v>
      </c>
      <c r="D686" s="45">
        <v>22.2</v>
      </c>
      <c r="E686" s="45">
        <v>738</v>
      </c>
      <c r="F686" s="45">
        <v>25</v>
      </c>
      <c r="G686" s="45">
        <v>1.6</v>
      </c>
      <c r="H686" s="45">
        <v>9.8000000000000004E-2</v>
      </c>
    </row>
    <row r="687" spans="1:8" x14ac:dyDescent="0.35">
      <c r="A687" s="45">
        <v>78</v>
      </c>
      <c r="B687" s="45">
        <v>8</v>
      </c>
      <c r="C687" s="45" t="s">
        <v>38</v>
      </c>
      <c r="D687" s="45">
        <v>2.1</v>
      </c>
      <c r="E687" s="45">
        <v>739</v>
      </c>
      <c r="F687" s="45">
        <v>25</v>
      </c>
      <c r="G687" s="45">
        <v>1.47</v>
      </c>
      <c r="H687" s="45">
        <v>9.8000000000000004E-2</v>
      </c>
    </row>
    <row r="688" spans="1:8" x14ac:dyDescent="0.35">
      <c r="A688" s="45">
        <v>77</v>
      </c>
      <c r="B688" s="45">
        <v>7</v>
      </c>
      <c r="C688" s="45" t="s">
        <v>17</v>
      </c>
      <c r="D688" s="45">
        <v>2.9</v>
      </c>
      <c r="E688" s="45">
        <v>741</v>
      </c>
      <c r="F688" s="45">
        <v>25</v>
      </c>
      <c r="G688" s="45">
        <v>1.2</v>
      </c>
      <c r="H688" s="45">
        <v>9.8000000000000004E-2</v>
      </c>
    </row>
    <row r="689" spans="1:8" x14ac:dyDescent="0.35">
      <c r="A689" s="45">
        <v>76</v>
      </c>
      <c r="B689" s="45">
        <v>5</v>
      </c>
      <c r="C689" s="45" t="s">
        <v>35</v>
      </c>
      <c r="D689" s="45">
        <v>1.2</v>
      </c>
      <c r="E689" s="45">
        <v>739</v>
      </c>
      <c r="F689" s="45">
        <v>25</v>
      </c>
      <c r="G689" s="45">
        <v>1.47</v>
      </c>
      <c r="H689" s="45">
        <v>9.8000000000000004E-2</v>
      </c>
    </row>
    <row r="690" spans="1:8" x14ac:dyDescent="0.35">
      <c r="A690" s="45">
        <v>75</v>
      </c>
      <c r="B690" s="45">
        <v>2</v>
      </c>
      <c r="C690" s="45" t="s">
        <v>74</v>
      </c>
      <c r="D690" s="45">
        <v>1.1000000000000001</v>
      </c>
      <c r="E690" s="45">
        <v>738</v>
      </c>
      <c r="F690" s="45">
        <v>25</v>
      </c>
      <c r="G690" s="45">
        <v>1.6</v>
      </c>
      <c r="H690" s="45">
        <v>9.8000000000000004E-2</v>
      </c>
    </row>
    <row r="691" spans="1:8" x14ac:dyDescent="0.35">
      <c r="A691" s="45">
        <v>74</v>
      </c>
      <c r="B691" s="45">
        <v>9</v>
      </c>
      <c r="C691" s="45" t="s">
        <v>44</v>
      </c>
      <c r="D691" s="45">
        <v>1.1000000000000001</v>
      </c>
      <c r="E691" s="45">
        <v>736</v>
      </c>
      <c r="F691" s="45">
        <v>25</v>
      </c>
      <c r="G691" s="45">
        <v>1.87</v>
      </c>
      <c r="H691" s="45">
        <v>9.8000000000000004E-2</v>
      </c>
    </row>
    <row r="692" spans="1:8" x14ac:dyDescent="0.35">
      <c r="A692" s="45">
        <v>73</v>
      </c>
      <c r="B692" s="45">
        <v>11</v>
      </c>
      <c r="C692" s="45" t="s">
        <v>23</v>
      </c>
      <c r="D692" s="45">
        <v>15.1</v>
      </c>
      <c r="E692" s="45">
        <v>737</v>
      </c>
      <c r="F692" s="45">
        <v>25</v>
      </c>
      <c r="G692" s="45">
        <v>1.73</v>
      </c>
      <c r="H692" s="45">
        <v>9.8000000000000004E-2</v>
      </c>
    </row>
    <row r="693" spans="1:8" x14ac:dyDescent="0.35">
      <c r="A693" s="45">
        <v>72</v>
      </c>
      <c r="B693" s="45">
        <v>3</v>
      </c>
      <c r="C693" s="45" t="s">
        <v>20</v>
      </c>
      <c r="D693" s="45">
        <v>3.5</v>
      </c>
      <c r="E693" s="45">
        <v>738</v>
      </c>
      <c r="F693" s="45">
        <v>25</v>
      </c>
      <c r="G693" s="45">
        <v>1.6</v>
      </c>
      <c r="H693" s="45">
        <v>9.9000000000000005E-2</v>
      </c>
    </row>
    <row r="694" spans="1:8" x14ac:dyDescent="0.35">
      <c r="A694" s="45">
        <v>71</v>
      </c>
      <c r="B694" s="45">
        <v>11</v>
      </c>
      <c r="C694" s="45" t="s">
        <v>23</v>
      </c>
      <c r="D694" s="45">
        <v>11.4</v>
      </c>
      <c r="E694" s="45">
        <v>737</v>
      </c>
      <c r="F694" s="45">
        <v>25</v>
      </c>
      <c r="G694" s="45">
        <v>1.73</v>
      </c>
      <c r="H694" s="45">
        <v>9.8000000000000004E-2</v>
      </c>
    </row>
    <row r="695" spans="1:8" x14ac:dyDescent="0.35">
      <c r="A695" s="45">
        <v>70</v>
      </c>
      <c r="B695" s="45">
        <v>11</v>
      </c>
      <c r="C695" s="45" t="s">
        <v>23</v>
      </c>
      <c r="D695" s="45">
        <v>17.5</v>
      </c>
      <c r="E695" s="45">
        <v>738</v>
      </c>
      <c r="F695" s="45">
        <v>25</v>
      </c>
      <c r="G695" s="45">
        <v>1.6</v>
      </c>
      <c r="H695" s="45">
        <v>9.8000000000000004E-2</v>
      </c>
    </row>
    <row r="696" spans="1:8" x14ac:dyDescent="0.35">
      <c r="A696" s="45">
        <v>69</v>
      </c>
      <c r="B696" s="45">
        <v>11</v>
      </c>
      <c r="C696" s="45" t="s">
        <v>23</v>
      </c>
      <c r="D696" s="45">
        <v>21.7</v>
      </c>
      <c r="E696" s="45">
        <v>736</v>
      </c>
      <c r="F696" s="45">
        <v>25</v>
      </c>
      <c r="G696" s="45">
        <v>1.87</v>
      </c>
      <c r="H696" s="45">
        <v>9.9000000000000005E-2</v>
      </c>
    </row>
    <row r="697" spans="1:8" x14ac:dyDescent="0.35">
      <c r="A697" s="45">
        <v>68</v>
      </c>
      <c r="B697" s="45">
        <v>11</v>
      </c>
      <c r="C697" s="45" t="s">
        <v>23</v>
      </c>
      <c r="D697" s="45">
        <v>5.3</v>
      </c>
      <c r="E697" s="45">
        <v>738</v>
      </c>
      <c r="F697" s="45">
        <v>25</v>
      </c>
      <c r="G697" s="45">
        <v>1.6</v>
      </c>
      <c r="H697" s="45">
        <v>9.8000000000000004E-2</v>
      </c>
    </row>
    <row r="698" spans="1:8" x14ac:dyDescent="0.35">
      <c r="A698" s="45">
        <v>67</v>
      </c>
      <c r="B698" s="45">
        <v>6</v>
      </c>
      <c r="C698" s="45" t="s">
        <v>14</v>
      </c>
      <c r="D698" s="45">
        <v>1.3</v>
      </c>
      <c r="E698" s="45">
        <v>737</v>
      </c>
      <c r="F698" s="45">
        <v>25</v>
      </c>
      <c r="G698" s="45">
        <v>1.73</v>
      </c>
      <c r="H698" s="45">
        <v>9.8000000000000004E-2</v>
      </c>
    </row>
    <row r="699" spans="1:8" x14ac:dyDescent="0.35">
      <c r="A699" s="45">
        <v>66</v>
      </c>
      <c r="B699" s="45">
        <v>11</v>
      </c>
      <c r="C699" s="45" t="s">
        <v>23</v>
      </c>
      <c r="D699" s="45">
        <v>15.7</v>
      </c>
      <c r="E699" s="45">
        <v>738</v>
      </c>
      <c r="F699" s="45">
        <v>25</v>
      </c>
      <c r="G699" s="45">
        <v>1.6</v>
      </c>
      <c r="H699" s="45">
        <v>9.8000000000000004E-2</v>
      </c>
    </row>
    <row r="700" spans="1:8" x14ac:dyDescent="0.35">
      <c r="A700" s="45">
        <v>65</v>
      </c>
      <c r="B700" s="45">
        <v>3</v>
      </c>
      <c r="C700" s="45" t="s">
        <v>20</v>
      </c>
      <c r="D700" s="45">
        <v>1</v>
      </c>
      <c r="E700" s="45">
        <v>738</v>
      </c>
      <c r="F700" s="45">
        <v>25</v>
      </c>
      <c r="G700" s="45">
        <v>1.6</v>
      </c>
      <c r="H700" s="45">
        <v>9.8000000000000004E-2</v>
      </c>
    </row>
    <row r="701" spans="1:8" x14ac:dyDescent="0.35">
      <c r="A701" s="45">
        <v>64</v>
      </c>
      <c r="B701" s="45">
        <v>5</v>
      </c>
      <c r="C701" s="45" t="s">
        <v>35</v>
      </c>
      <c r="D701" s="45">
        <v>1.3</v>
      </c>
      <c r="E701" s="45">
        <v>737</v>
      </c>
      <c r="F701" s="45">
        <v>25</v>
      </c>
      <c r="G701" s="45">
        <v>1.73</v>
      </c>
      <c r="H701" s="45">
        <v>9.8000000000000004E-2</v>
      </c>
    </row>
    <row r="702" spans="1:8" x14ac:dyDescent="0.35">
      <c r="A702" s="45">
        <v>63</v>
      </c>
      <c r="B702" s="45">
        <v>6</v>
      </c>
      <c r="C702" s="45" t="s">
        <v>14</v>
      </c>
      <c r="D702" s="45">
        <v>1.2</v>
      </c>
      <c r="E702" s="45">
        <v>738</v>
      </c>
      <c r="F702" s="45">
        <v>25</v>
      </c>
      <c r="G702" s="45">
        <v>1.6</v>
      </c>
      <c r="H702" s="45">
        <v>9.8000000000000004E-2</v>
      </c>
    </row>
    <row r="703" spans="1:8" x14ac:dyDescent="0.35">
      <c r="A703" s="45">
        <v>62</v>
      </c>
      <c r="B703" s="45">
        <v>11</v>
      </c>
      <c r="C703" s="45" t="s">
        <v>23</v>
      </c>
      <c r="D703" s="45">
        <v>14.9</v>
      </c>
      <c r="E703" s="45">
        <v>735</v>
      </c>
      <c r="F703" s="45">
        <v>25</v>
      </c>
      <c r="G703" s="45">
        <v>2</v>
      </c>
      <c r="H703" s="45">
        <v>9.8000000000000004E-2</v>
      </c>
    </row>
    <row r="704" spans="1:8" x14ac:dyDescent="0.35">
      <c r="A704" s="45">
        <v>61</v>
      </c>
      <c r="B704" s="45">
        <v>3</v>
      </c>
      <c r="C704" s="45" t="s">
        <v>20</v>
      </c>
      <c r="D704" s="45">
        <v>1.2</v>
      </c>
      <c r="E704" s="45">
        <v>737</v>
      </c>
      <c r="F704" s="45">
        <v>25</v>
      </c>
      <c r="G704" s="45">
        <v>1.73</v>
      </c>
      <c r="H704" s="45">
        <v>9.8000000000000004E-2</v>
      </c>
    </row>
    <row r="705" spans="1:8" x14ac:dyDescent="0.35">
      <c r="A705" s="45">
        <v>60</v>
      </c>
      <c r="B705" s="45">
        <v>7</v>
      </c>
      <c r="C705" s="45" t="s">
        <v>17</v>
      </c>
      <c r="D705" s="45">
        <v>2.8</v>
      </c>
      <c r="E705" s="45">
        <v>735</v>
      </c>
      <c r="F705" s="45">
        <v>25</v>
      </c>
      <c r="G705" s="45">
        <v>2</v>
      </c>
      <c r="H705" s="45">
        <v>9.8000000000000004E-2</v>
      </c>
    </row>
    <row r="706" spans="1:8" x14ac:dyDescent="0.35">
      <c r="A706" s="45">
        <v>59</v>
      </c>
      <c r="B706" s="45">
        <v>8</v>
      </c>
      <c r="C706" s="45" t="s">
        <v>38</v>
      </c>
      <c r="D706" s="45">
        <v>2.1</v>
      </c>
      <c r="E706" s="45">
        <v>736</v>
      </c>
      <c r="F706" s="45">
        <v>25</v>
      </c>
      <c r="G706" s="45">
        <v>1.87</v>
      </c>
      <c r="H706" s="45">
        <v>9.9000000000000005E-2</v>
      </c>
    </row>
    <row r="707" spans="1:8" x14ac:dyDescent="0.35">
      <c r="A707" s="45">
        <v>58</v>
      </c>
      <c r="B707" s="45">
        <v>11</v>
      </c>
      <c r="C707" s="45" t="s">
        <v>23</v>
      </c>
      <c r="D707" s="45">
        <v>38.5</v>
      </c>
      <c r="E707" s="45">
        <v>737</v>
      </c>
      <c r="F707" s="45">
        <v>25</v>
      </c>
      <c r="G707" s="45">
        <v>1.73</v>
      </c>
      <c r="H707" s="45">
        <v>9.9000000000000005E-2</v>
      </c>
    </row>
    <row r="708" spans="1:8" x14ac:dyDescent="0.35">
      <c r="A708" s="45">
        <v>57</v>
      </c>
      <c r="B708" s="45">
        <v>9</v>
      </c>
      <c r="C708" s="45" t="s">
        <v>44</v>
      </c>
      <c r="D708" s="45">
        <v>0.9</v>
      </c>
      <c r="E708" s="45">
        <v>735</v>
      </c>
      <c r="F708" s="45">
        <v>25</v>
      </c>
      <c r="G708" s="45">
        <v>2</v>
      </c>
      <c r="H708" s="45">
        <v>9.8000000000000004E-2</v>
      </c>
    </row>
    <row r="709" spans="1:8" x14ac:dyDescent="0.35">
      <c r="A709" s="45">
        <v>56</v>
      </c>
      <c r="B709" s="45">
        <v>11</v>
      </c>
      <c r="C709" s="45" t="s">
        <v>23</v>
      </c>
      <c r="D709" s="45">
        <v>21.7</v>
      </c>
      <c r="E709" s="45">
        <v>736</v>
      </c>
      <c r="F709" s="45">
        <v>25</v>
      </c>
      <c r="G709" s="45">
        <v>1.87</v>
      </c>
      <c r="H709" s="45">
        <v>9.8000000000000004E-2</v>
      </c>
    </row>
    <row r="710" spans="1:8" x14ac:dyDescent="0.35">
      <c r="A710" s="45">
        <v>55</v>
      </c>
      <c r="B710" s="45">
        <v>5</v>
      </c>
      <c r="C710" s="45" t="s">
        <v>35</v>
      </c>
      <c r="D710" s="45">
        <v>1.1000000000000001</v>
      </c>
      <c r="E710" s="45">
        <v>735</v>
      </c>
      <c r="F710" s="45">
        <v>25</v>
      </c>
      <c r="G710" s="45">
        <v>2</v>
      </c>
      <c r="H710" s="45">
        <v>9.8000000000000004E-2</v>
      </c>
    </row>
    <row r="711" spans="1:8" x14ac:dyDescent="0.35">
      <c r="A711" s="45">
        <v>54</v>
      </c>
      <c r="B711" s="45">
        <v>8</v>
      </c>
      <c r="C711" s="45" t="s">
        <v>38</v>
      </c>
      <c r="D711" s="45">
        <v>2.2000000000000002</v>
      </c>
      <c r="E711" s="45">
        <v>738</v>
      </c>
      <c r="F711" s="45">
        <v>25</v>
      </c>
      <c r="G711" s="45">
        <v>1.6</v>
      </c>
      <c r="H711" s="45">
        <v>9.8000000000000004E-2</v>
      </c>
    </row>
    <row r="712" spans="1:8" x14ac:dyDescent="0.35">
      <c r="A712" s="45">
        <v>53</v>
      </c>
      <c r="B712" s="45">
        <v>6</v>
      </c>
      <c r="C712" s="45" t="s">
        <v>14</v>
      </c>
      <c r="D712" s="45">
        <v>1.3</v>
      </c>
      <c r="E712" s="45">
        <v>737</v>
      </c>
      <c r="F712" s="45">
        <v>25</v>
      </c>
      <c r="G712" s="45">
        <v>1.73</v>
      </c>
      <c r="H712" s="45">
        <v>9.9000000000000005E-2</v>
      </c>
    </row>
    <row r="713" spans="1:8" x14ac:dyDescent="0.35">
      <c r="A713" s="45">
        <v>52</v>
      </c>
      <c r="B713" s="45">
        <v>1</v>
      </c>
      <c r="C713" s="45" t="s">
        <v>41</v>
      </c>
      <c r="D713" s="45">
        <v>2.9</v>
      </c>
      <c r="E713" s="45">
        <v>737</v>
      </c>
      <c r="F713" s="45">
        <v>25</v>
      </c>
      <c r="G713" s="45">
        <v>1.73</v>
      </c>
      <c r="H713" s="45">
        <v>9.8000000000000004E-2</v>
      </c>
    </row>
    <row r="714" spans="1:8" x14ac:dyDescent="0.35">
      <c r="A714" s="45">
        <v>51</v>
      </c>
      <c r="B714" s="45">
        <v>9</v>
      </c>
      <c r="C714" s="45" t="s">
        <v>44</v>
      </c>
      <c r="D714" s="45">
        <v>1.2</v>
      </c>
      <c r="E714" s="45">
        <v>736</v>
      </c>
      <c r="F714" s="45">
        <v>25</v>
      </c>
      <c r="G714" s="45">
        <v>1.87</v>
      </c>
      <c r="H714" s="45">
        <v>9.8000000000000004E-2</v>
      </c>
    </row>
    <row r="715" spans="1:8" x14ac:dyDescent="0.35">
      <c r="A715" s="44" t="s">
        <v>1626</v>
      </c>
      <c r="B715" s="44" t="s">
        <v>1627</v>
      </c>
      <c r="C715" s="44" t="s">
        <v>4</v>
      </c>
      <c r="D715" s="44" t="s">
        <v>5</v>
      </c>
      <c r="E715" s="44" t="s">
        <v>6</v>
      </c>
      <c r="F715" s="44" t="s">
        <v>1629</v>
      </c>
      <c r="G715" s="44" t="s">
        <v>1628</v>
      </c>
      <c r="H715" s="44" t="s">
        <v>10</v>
      </c>
    </row>
    <row r="716" spans="1:8" x14ac:dyDescent="0.35">
      <c r="A716" s="45">
        <v>50</v>
      </c>
      <c r="B716" s="45">
        <v>4</v>
      </c>
      <c r="C716" s="45" t="s">
        <v>28</v>
      </c>
      <c r="D716" s="45">
        <v>2.4</v>
      </c>
      <c r="E716" s="45">
        <v>589</v>
      </c>
      <c r="F716" s="45">
        <v>20</v>
      </c>
      <c r="G716" s="45">
        <v>1.83</v>
      </c>
      <c r="H716" s="45">
        <v>7.8E-2</v>
      </c>
    </row>
    <row r="717" spans="1:8" x14ac:dyDescent="0.35">
      <c r="A717" s="45">
        <v>49</v>
      </c>
      <c r="B717" s="45">
        <v>11</v>
      </c>
      <c r="C717" s="45" t="s">
        <v>23</v>
      </c>
      <c r="D717" s="45">
        <v>22.2</v>
      </c>
      <c r="E717" s="45">
        <v>587</v>
      </c>
      <c r="F717" s="45">
        <v>20</v>
      </c>
      <c r="G717" s="45">
        <v>2.17</v>
      </c>
      <c r="H717" s="45">
        <v>7.8E-2</v>
      </c>
    </row>
    <row r="718" spans="1:8" x14ac:dyDescent="0.35">
      <c r="A718" s="45">
        <v>48</v>
      </c>
      <c r="B718" s="45">
        <v>1</v>
      </c>
      <c r="C718" s="45" t="s">
        <v>41</v>
      </c>
      <c r="D718" s="45">
        <v>3.1</v>
      </c>
      <c r="E718" s="45">
        <v>589</v>
      </c>
      <c r="F718" s="45">
        <v>20</v>
      </c>
      <c r="G718" s="45">
        <v>1.83</v>
      </c>
      <c r="H718" s="45">
        <v>7.8E-2</v>
      </c>
    </row>
    <row r="719" spans="1:8" x14ac:dyDescent="0.35">
      <c r="A719" s="45">
        <v>47</v>
      </c>
      <c r="B719" s="45">
        <v>9</v>
      </c>
      <c r="C719" s="45" t="s">
        <v>44</v>
      </c>
      <c r="D719" s="45">
        <v>1</v>
      </c>
      <c r="E719" s="45">
        <v>588</v>
      </c>
      <c r="F719" s="45">
        <v>20</v>
      </c>
      <c r="G719" s="45">
        <v>2</v>
      </c>
      <c r="H719" s="45">
        <v>7.8E-2</v>
      </c>
    </row>
    <row r="720" spans="1:8" x14ac:dyDescent="0.35">
      <c r="A720" s="45">
        <v>46</v>
      </c>
      <c r="B720" s="45">
        <v>2</v>
      </c>
      <c r="C720" s="45" t="s">
        <v>74</v>
      </c>
      <c r="D720" s="45">
        <v>1.2</v>
      </c>
      <c r="E720" s="45">
        <v>589</v>
      </c>
      <c r="F720" s="45">
        <v>20</v>
      </c>
      <c r="G720" s="45">
        <v>1.83</v>
      </c>
      <c r="H720" s="45">
        <v>7.8E-2</v>
      </c>
    </row>
    <row r="721" spans="1:8" x14ac:dyDescent="0.35">
      <c r="A721" s="45">
        <v>45</v>
      </c>
      <c r="B721" s="45">
        <v>11</v>
      </c>
      <c r="C721" s="45" t="s">
        <v>23</v>
      </c>
      <c r="D721" s="45">
        <v>5.2</v>
      </c>
      <c r="E721" s="45">
        <v>588</v>
      </c>
      <c r="F721" s="45">
        <v>20</v>
      </c>
      <c r="G721" s="45">
        <v>2</v>
      </c>
      <c r="H721" s="45">
        <v>7.8E-2</v>
      </c>
    </row>
    <row r="722" spans="1:8" x14ac:dyDescent="0.35">
      <c r="A722" s="45">
        <v>44</v>
      </c>
      <c r="B722" s="45">
        <v>1</v>
      </c>
      <c r="C722" s="45" t="s">
        <v>41</v>
      </c>
      <c r="D722" s="45">
        <v>4</v>
      </c>
      <c r="E722" s="45">
        <v>588</v>
      </c>
      <c r="F722" s="45">
        <v>20</v>
      </c>
      <c r="G722" s="45">
        <v>2</v>
      </c>
      <c r="H722" s="45">
        <v>7.9000000000000001E-2</v>
      </c>
    </row>
    <row r="723" spans="1:8" x14ac:dyDescent="0.35">
      <c r="A723" s="45">
        <v>43</v>
      </c>
      <c r="B723" s="45">
        <v>3</v>
      </c>
      <c r="C723" s="45" t="s">
        <v>20</v>
      </c>
      <c r="D723" s="45">
        <v>1.1000000000000001</v>
      </c>
      <c r="E723" s="45">
        <v>588</v>
      </c>
      <c r="F723" s="45">
        <v>20</v>
      </c>
      <c r="G723" s="45">
        <v>2</v>
      </c>
      <c r="H723" s="45">
        <v>7.8E-2</v>
      </c>
    </row>
    <row r="724" spans="1:8" x14ac:dyDescent="0.35">
      <c r="A724" s="45">
        <v>42</v>
      </c>
      <c r="B724" s="45">
        <v>2</v>
      </c>
      <c r="C724" s="45" t="s">
        <v>74</v>
      </c>
      <c r="D724" s="45">
        <v>1.3</v>
      </c>
      <c r="E724" s="45">
        <v>589</v>
      </c>
      <c r="F724" s="45">
        <v>20</v>
      </c>
      <c r="G724" s="45">
        <v>1.83</v>
      </c>
      <c r="H724" s="45">
        <v>7.8E-2</v>
      </c>
    </row>
    <row r="725" spans="1:8" x14ac:dyDescent="0.35">
      <c r="A725" s="45">
        <v>41</v>
      </c>
      <c r="B725" s="45">
        <v>6</v>
      </c>
      <c r="C725" s="45" t="s">
        <v>14</v>
      </c>
      <c r="D725" s="45">
        <v>1.4</v>
      </c>
      <c r="E725" s="45">
        <v>588</v>
      </c>
      <c r="F725" s="45">
        <v>20</v>
      </c>
      <c r="G725" s="45">
        <v>2</v>
      </c>
      <c r="H725" s="45">
        <v>7.8E-2</v>
      </c>
    </row>
    <row r="726" spans="1:8" x14ac:dyDescent="0.35">
      <c r="A726" s="45">
        <v>40</v>
      </c>
      <c r="B726" s="45">
        <v>5</v>
      </c>
      <c r="C726" s="45" t="s">
        <v>35</v>
      </c>
      <c r="D726" s="45">
        <v>1.2</v>
      </c>
      <c r="E726" s="45">
        <v>586</v>
      </c>
      <c r="F726" s="45">
        <v>20</v>
      </c>
      <c r="G726" s="45">
        <v>2.33</v>
      </c>
      <c r="H726" s="45">
        <v>7.9000000000000001E-2</v>
      </c>
    </row>
    <row r="727" spans="1:8" x14ac:dyDescent="0.35">
      <c r="A727" s="45">
        <v>39</v>
      </c>
      <c r="B727" s="45">
        <v>3</v>
      </c>
      <c r="C727" s="45" t="s">
        <v>20</v>
      </c>
      <c r="D727" s="45">
        <v>1.1000000000000001</v>
      </c>
      <c r="E727" s="45">
        <v>586</v>
      </c>
      <c r="F727" s="45">
        <v>20</v>
      </c>
      <c r="G727" s="45">
        <v>2.33</v>
      </c>
      <c r="H727" s="45">
        <v>7.8E-2</v>
      </c>
    </row>
    <row r="728" spans="1:8" x14ac:dyDescent="0.35">
      <c r="A728" s="45">
        <v>38</v>
      </c>
      <c r="B728" s="45">
        <v>1</v>
      </c>
      <c r="C728" s="45" t="s">
        <v>41</v>
      </c>
      <c r="D728" s="45">
        <v>3.4</v>
      </c>
      <c r="E728" s="45">
        <v>588</v>
      </c>
      <c r="F728" s="45">
        <v>20</v>
      </c>
      <c r="G728" s="45">
        <v>2</v>
      </c>
      <c r="H728" s="45">
        <v>7.8E-2</v>
      </c>
    </row>
    <row r="729" spans="1:8" x14ac:dyDescent="0.35">
      <c r="A729" s="45">
        <v>37</v>
      </c>
      <c r="B729" s="45">
        <v>11</v>
      </c>
      <c r="C729" s="45" t="s">
        <v>23</v>
      </c>
      <c r="D729" s="45">
        <v>22.3</v>
      </c>
      <c r="E729" s="45">
        <v>589</v>
      </c>
      <c r="F729" s="45">
        <v>20</v>
      </c>
      <c r="G729" s="45">
        <v>1.83</v>
      </c>
      <c r="H729" s="45">
        <v>7.8E-2</v>
      </c>
    </row>
    <row r="730" spans="1:8" x14ac:dyDescent="0.35">
      <c r="A730" s="45">
        <v>36</v>
      </c>
      <c r="B730" s="45">
        <v>11</v>
      </c>
      <c r="C730" s="45" t="s">
        <v>23</v>
      </c>
      <c r="D730" s="45">
        <v>15.9</v>
      </c>
      <c r="E730" s="45">
        <v>586</v>
      </c>
      <c r="F730" s="45">
        <v>20</v>
      </c>
      <c r="G730" s="45">
        <v>2.33</v>
      </c>
      <c r="H730" s="45">
        <v>7.8E-2</v>
      </c>
    </row>
    <row r="731" spans="1:8" x14ac:dyDescent="0.35">
      <c r="A731" s="45">
        <v>35</v>
      </c>
      <c r="B731" s="45">
        <v>11</v>
      </c>
      <c r="C731" s="45" t="s">
        <v>23</v>
      </c>
      <c r="D731" s="45">
        <v>32.700000000000003</v>
      </c>
      <c r="E731" s="45">
        <v>590</v>
      </c>
      <c r="F731" s="45">
        <v>20</v>
      </c>
      <c r="G731" s="45">
        <v>1.67</v>
      </c>
      <c r="H731" s="45">
        <v>7.8E-2</v>
      </c>
    </row>
    <row r="732" spans="1:8" x14ac:dyDescent="0.35">
      <c r="A732" s="45">
        <v>34</v>
      </c>
      <c r="B732" s="45">
        <v>5</v>
      </c>
      <c r="C732" s="45" t="s">
        <v>35</v>
      </c>
      <c r="D732" s="45">
        <v>1.3</v>
      </c>
      <c r="E732" s="45">
        <v>588</v>
      </c>
      <c r="F732" s="45">
        <v>20</v>
      </c>
      <c r="G732" s="45">
        <v>2</v>
      </c>
      <c r="H732" s="45">
        <v>7.8E-2</v>
      </c>
    </row>
    <row r="733" spans="1:8" x14ac:dyDescent="0.35">
      <c r="A733" s="45">
        <v>33</v>
      </c>
      <c r="B733" s="45">
        <v>4</v>
      </c>
      <c r="C733" s="45" t="s">
        <v>28</v>
      </c>
      <c r="D733" s="45">
        <v>2.4</v>
      </c>
      <c r="E733" s="45">
        <v>589</v>
      </c>
      <c r="F733" s="45">
        <v>20</v>
      </c>
      <c r="G733" s="45">
        <v>1.83</v>
      </c>
      <c r="H733" s="45">
        <v>7.8E-2</v>
      </c>
    </row>
    <row r="734" spans="1:8" x14ac:dyDescent="0.35">
      <c r="A734" s="45">
        <v>32</v>
      </c>
      <c r="B734" s="45">
        <v>3</v>
      </c>
      <c r="C734" s="45" t="s">
        <v>20</v>
      </c>
      <c r="D734" s="45">
        <v>1.1000000000000001</v>
      </c>
      <c r="E734" s="45">
        <v>589</v>
      </c>
      <c r="F734" s="45">
        <v>20</v>
      </c>
      <c r="G734" s="45">
        <v>1.83</v>
      </c>
      <c r="H734" s="45">
        <v>7.8E-2</v>
      </c>
    </row>
    <row r="735" spans="1:8" x14ac:dyDescent="0.35">
      <c r="A735" s="45">
        <v>31</v>
      </c>
      <c r="B735" s="45">
        <v>11</v>
      </c>
      <c r="C735" s="45" t="s">
        <v>23</v>
      </c>
      <c r="D735" s="45">
        <v>16.899999999999999</v>
      </c>
      <c r="E735" s="45">
        <v>590</v>
      </c>
      <c r="F735" s="45">
        <v>20</v>
      </c>
      <c r="G735" s="45">
        <v>1.67</v>
      </c>
      <c r="H735" s="45">
        <v>7.8E-2</v>
      </c>
    </row>
    <row r="736" spans="1:8" x14ac:dyDescent="0.35">
      <c r="A736" s="45">
        <v>30</v>
      </c>
      <c r="B736" s="45">
        <v>5</v>
      </c>
      <c r="C736" s="45" t="s">
        <v>35</v>
      </c>
      <c r="D736" s="45">
        <v>1.2</v>
      </c>
      <c r="E736" s="45">
        <v>587</v>
      </c>
      <c r="F736" s="45">
        <v>20</v>
      </c>
      <c r="G736" s="45">
        <v>2.17</v>
      </c>
      <c r="H736" s="45">
        <v>7.8E-2</v>
      </c>
    </row>
    <row r="737" spans="1:8" x14ac:dyDescent="0.35">
      <c r="A737" s="45">
        <v>29</v>
      </c>
      <c r="B737" s="45">
        <v>11</v>
      </c>
      <c r="C737" s="45" t="s">
        <v>23</v>
      </c>
      <c r="D737" s="45">
        <v>15.4</v>
      </c>
      <c r="E737" s="45">
        <v>586</v>
      </c>
      <c r="F737" s="45">
        <v>20</v>
      </c>
      <c r="G737" s="45">
        <v>2.33</v>
      </c>
      <c r="H737" s="45">
        <v>7.8E-2</v>
      </c>
    </row>
    <row r="738" spans="1:8" x14ac:dyDescent="0.35">
      <c r="A738" s="45">
        <v>28</v>
      </c>
      <c r="B738" s="45">
        <v>8</v>
      </c>
      <c r="C738" s="45" t="s">
        <v>38</v>
      </c>
      <c r="D738" s="45">
        <v>2.5</v>
      </c>
      <c r="E738" s="45">
        <v>588</v>
      </c>
      <c r="F738" s="45">
        <v>20</v>
      </c>
      <c r="G738" s="45">
        <v>2</v>
      </c>
      <c r="H738" s="45">
        <v>7.8E-2</v>
      </c>
    </row>
    <row r="739" spans="1:8" x14ac:dyDescent="0.35">
      <c r="A739" s="45">
        <v>27</v>
      </c>
      <c r="B739" s="45">
        <v>11</v>
      </c>
      <c r="C739" s="45" t="s">
        <v>23</v>
      </c>
      <c r="D739" s="45">
        <v>22.2</v>
      </c>
      <c r="E739" s="45">
        <v>589</v>
      </c>
      <c r="F739" s="45">
        <v>20</v>
      </c>
      <c r="G739" s="45">
        <v>1.83</v>
      </c>
      <c r="H739" s="45">
        <v>7.8E-2</v>
      </c>
    </row>
    <row r="740" spans="1:8" x14ac:dyDescent="0.35">
      <c r="A740" s="45">
        <v>26</v>
      </c>
      <c r="B740" s="45">
        <v>6</v>
      </c>
      <c r="C740" s="45" t="s">
        <v>14</v>
      </c>
      <c r="D740" s="45">
        <v>1.4</v>
      </c>
      <c r="E740" s="45">
        <v>587</v>
      </c>
      <c r="F740" s="45">
        <v>20</v>
      </c>
      <c r="G740" s="45">
        <v>2.17</v>
      </c>
      <c r="H740" s="45">
        <v>7.8E-2</v>
      </c>
    </row>
    <row r="741" spans="1:8" x14ac:dyDescent="0.35">
      <c r="A741" s="45">
        <v>25</v>
      </c>
      <c r="B741" s="45">
        <v>4</v>
      </c>
      <c r="C741" s="45" t="s">
        <v>28</v>
      </c>
      <c r="D741" s="45">
        <v>2.2999999999999998</v>
      </c>
      <c r="E741" s="45">
        <v>588</v>
      </c>
      <c r="F741" s="45">
        <v>20</v>
      </c>
      <c r="G741" s="45">
        <v>2</v>
      </c>
      <c r="H741" s="45">
        <v>7.9000000000000001E-2</v>
      </c>
    </row>
    <row r="742" spans="1:8" x14ac:dyDescent="0.35">
      <c r="A742" s="45">
        <v>24</v>
      </c>
      <c r="B742" s="45">
        <v>8</v>
      </c>
      <c r="C742" s="45" t="s">
        <v>38</v>
      </c>
      <c r="D742" s="45">
        <v>2.5</v>
      </c>
      <c r="E742" s="45">
        <v>588</v>
      </c>
      <c r="F742" s="45">
        <v>20</v>
      </c>
      <c r="G742" s="45">
        <v>2</v>
      </c>
      <c r="H742" s="45">
        <v>7.9000000000000001E-2</v>
      </c>
    </row>
    <row r="743" spans="1:8" x14ac:dyDescent="0.35">
      <c r="A743" s="45">
        <v>23</v>
      </c>
      <c r="B743" s="45">
        <v>12</v>
      </c>
      <c r="C743" s="45" t="s">
        <v>59</v>
      </c>
      <c r="D743" s="45">
        <v>0</v>
      </c>
      <c r="E743" s="45">
        <v>588</v>
      </c>
      <c r="F743" s="45">
        <v>20</v>
      </c>
      <c r="G743" s="45">
        <v>2</v>
      </c>
      <c r="H743" s="45">
        <v>7.9000000000000001E-2</v>
      </c>
    </row>
    <row r="744" spans="1:8" x14ac:dyDescent="0.35">
      <c r="A744" s="45">
        <v>22</v>
      </c>
      <c r="B744" s="45">
        <v>2</v>
      </c>
      <c r="C744" s="45" t="s">
        <v>74</v>
      </c>
      <c r="D744" s="45">
        <v>1.4</v>
      </c>
      <c r="E744" s="45">
        <v>586</v>
      </c>
      <c r="F744" s="45">
        <v>20</v>
      </c>
      <c r="G744" s="45">
        <v>2.33</v>
      </c>
      <c r="H744" s="45">
        <v>7.8E-2</v>
      </c>
    </row>
    <row r="745" spans="1:8" x14ac:dyDescent="0.35">
      <c r="A745" s="45">
        <v>21</v>
      </c>
      <c r="B745" s="45">
        <v>9</v>
      </c>
      <c r="C745" s="45" t="s">
        <v>44</v>
      </c>
      <c r="D745" s="45">
        <v>0.9</v>
      </c>
      <c r="E745" s="45">
        <v>586</v>
      </c>
      <c r="F745" s="45">
        <v>20</v>
      </c>
      <c r="G745" s="45">
        <v>2.33</v>
      </c>
      <c r="H745" s="45">
        <v>7.9000000000000001E-2</v>
      </c>
    </row>
    <row r="746" spans="1:8" x14ac:dyDescent="0.35">
      <c r="A746" s="45">
        <v>20</v>
      </c>
      <c r="B746" s="45">
        <v>4</v>
      </c>
      <c r="C746" s="45" t="s">
        <v>28</v>
      </c>
      <c r="D746" s="45">
        <v>2.4</v>
      </c>
      <c r="E746" s="45">
        <v>586</v>
      </c>
      <c r="F746" s="45">
        <v>20</v>
      </c>
      <c r="G746" s="45">
        <v>2.33</v>
      </c>
      <c r="H746" s="45">
        <v>7.8E-2</v>
      </c>
    </row>
    <row r="747" spans="1:8" x14ac:dyDescent="0.35">
      <c r="A747" s="45">
        <v>19</v>
      </c>
      <c r="B747" s="45">
        <v>1</v>
      </c>
      <c r="C747" s="45" t="s">
        <v>41</v>
      </c>
      <c r="D747" s="45">
        <v>3</v>
      </c>
      <c r="E747" s="45">
        <v>586</v>
      </c>
      <c r="F747" s="45">
        <v>20</v>
      </c>
      <c r="G747" s="45">
        <v>2.33</v>
      </c>
      <c r="H747" s="45">
        <v>7.8E-2</v>
      </c>
    </row>
    <row r="748" spans="1:8" x14ac:dyDescent="0.35">
      <c r="A748" s="45">
        <v>18</v>
      </c>
      <c r="B748" s="45">
        <v>7</v>
      </c>
      <c r="C748" s="45" t="s">
        <v>17</v>
      </c>
      <c r="D748" s="45">
        <v>2.7</v>
      </c>
      <c r="E748" s="45">
        <v>589</v>
      </c>
      <c r="F748" s="45">
        <v>20</v>
      </c>
      <c r="G748" s="45">
        <v>1.83</v>
      </c>
      <c r="H748" s="45">
        <v>7.9000000000000001E-2</v>
      </c>
    </row>
    <row r="749" spans="1:8" x14ac:dyDescent="0.35">
      <c r="A749" s="45">
        <v>17</v>
      </c>
      <c r="B749" s="45">
        <v>3</v>
      </c>
      <c r="C749" s="45" t="s">
        <v>20</v>
      </c>
      <c r="D749" s="45">
        <v>1.1000000000000001</v>
      </c>
      <c r="E749" s="45">
        <v>586</v>
      </c>
      <c r="F749" s="45">
        <v>20</v>
      </c>
      <c r="G749" s="45">
        <v>2.33</v>
      </c>
      <c r="H749" s="45">
        <v>7.9000000000000001E-2</v>
      </c>
    </row>
    <row r="750" spans="1:8" x14ac:dyDescent="0.35">
      <c r="A750" s="45">
        <v>16</v>
      </c>
      <c r="B750" s="45">
        <v>11</v>
      </c>
      <c r="C750" s="45" t="s">
        <v>23</v>
      </c>
      <c r="D750" s="45">
        <v>20.100000000000001</v>
      </c>
      <c r="E750" s="45">
        <v>587</v>
      </c>
      <c r="F750" s="45">
        <v>20</v>
      </c>
      <c r="G750" s="45">
        <v>2.17</v>
      </c>
      <c r="H750" s="45">
        <v>7.8E-2</v>
      </c>
    </row>
    <row r="751" spans="1:8" x14ac:dyDescent="0.35">
      <c r="A751" s="45">
        <v>15</v>
      </c>
      <c r="B751" s="45">
        <v>11</v>
      </c>
      <c r="C751" s="45" t="s">
        <v>23</v>
      </c>
      <c r="D751" s="45">
        <v>16.399999999999999</v>
      </c>
      <c r="E751" s="45">
        <v>587</v>
      </c>
      <c r="F751" s="45">
        <v>20</v>
      </c>
      <c r="G751" s="45">
        <v>2.17</v>
      </c>
      <c r="H751" s="45">
        <v>7.9000000000000001E-2</v>
      </c>
    </row>
    <row r="752" spans="1:8" x14ac:dyDescent="0.35">
      <c r="A752" s="45">
        <v>14</v>
      </c>
      <c r="B752" s="45">
        <v>11</v>
      </c>
      <c r="C752" s="45" t="s">
        <v>23</v>
      </c>
      <c r="D752" s="45">
        <v>22.2</v>
      </c>
      <c r="E752" s="45">
        <v>587</v>
      </c>
      <c r="F752" s="45">
        <v>20</v>
      </c>
      <c r="G752" s="45">
        <v>2.17</v>
      </c>
      <c r="H752" s="45">
        <v>7.8E-2</v>
      </c>
    </row>
    <row r="753" spans="1:8" x14ac:dyDescent="0.35">
      <c r="A753" s="45">
        <v>13</v>
      </c>
      <c r="B753" s="45">
        <v>11</v>
      </c>
      <c r="C753" s="45" t="s">
        <v>23</v>
      </c>
      <c r="D753" s="45">
        <v>15.6</v>
      </c>
      <c r="E753" s="45">
        <v>586</v>
      </c>
      <c r="F753" s="45">
        <v>20</v>
      </c>
      <c r="G753" s="45">
        <v>2.33</v>
      </c>
      <c r="H753" s="45">
        <v>7.8E-2</v>
      </c>
    </row>
    <row r="754" spans="1:8" x14ac:dyDescent="0.35">
      <c r="A754" s="45">
        <v>12</v>
      </c>
      <c r="B754" s="45">
        <v>6</v>
      </c>
      <c r="C754" s="45" t="s">
        <v>14</v>
      </c>
      <c r="D754" s="45">
        <v>1.4</v>
      </c>
      <c r="E754" s="45">
        <v>586</v>
      </c>
      <c r="F754" s="45">
        <v>20</v>
      </c>
      <c r="G754" s="45">
        <v>2.33</v>
      </c>
      <c r="H754" s="45">
        <v>7.9000000000000001E-2</v>
      </c>
    </row>
    <row r="755" spans="1:8" x14ac:dyDescent="0.35">
      <c r="A755" s="45">
        <v>11</v>
      </c>
      <c r="B755" s="45">
        <v>2</v>
      </c>
      <c r="C755" s="45" t="s">
        <v>74</v>
      </c>
      <c r="D755" s="45">
        <v>1.4</v>
      </c>
      <c r="E755" s="45">
        <v>589</v>
      </c>
      <c r="F755" s="45">
        <v>20</v>
      </c>
      <c r="G755" s="45">
        <v>1.83</v>
      </c>
      <c r="H755" s="45">
        <v>7.8E-2</v>
      </c>
    </row>
    <row r="756" spans="1:8" x14ac:dyDescent="0.35">
      <c r="A756" s="45">
        <v>10</v>
      </c>
      <c r="B756" s="45">
        <v>8</v>
      </c>
      <c r="C756" s="45" t="s">
        <v>38</v>
      </c>
      <c r="D756" s="45">
        <v>2.4</v>
      </c>
      <c r="E756" s="45">
        <v>587</v>
      </c>
      <c r="F756" s="45">
        <v>20</v>
      </c>
      <c r="G756" s="45">
        <v>2.17</v>
      </c>
      <c r="H756" s="45">
        <v>7.9000000000000001E-2</v>
      </c>
    </row>
    <row r="757" spans="1:8" x14ac:dyDescent="0.35">
      <c r="A757" s="45">
        <v>9</v>
      </c>
      <c r="B757" s="45">
        <v>11</v>
      </c>
      <c r="C757" s="45" t="s">
        <v>23</v>
      </c>
      <c r="D757" s="45">
        <v>9.4</v>
      </c>
      <c r="E757" s="45">
        <v>586</v>
      </c>
      <c r="F757" s="45">
        <v>20</v>
      </c>
      <c r="G757" s="45">
        <v>2.33</v>
      </c>
      <c r="H757" s="45">
        <v>7.8E-2</v>
      </c>
    </row>
    <row r="758" spans="1:8" x14ac:dyDescent="0.35">
      <c r="A758" s="45">
        <v>8</v>
      </c>
      <c r="B758" s="45">
        <v>11</v>
      </c>
      <c r="C758" s="45" t="s">
        <v>23</v>
      </c>
      <c r="D758" s="45">
        <v>17.899999999999999</v>
      </c>
      <c r="E758" s="45">
        <v>586</v>
      </c>
      <c r="F758" s="45">
        <v>20</v>
      </c>
      <c r="G758" s="45">
        <v>2.33</v>
      </c>
      <c r="H758" s="45">
        <v>0.08</v>
      </c>
    </row>
    <row r="759" spans="1:8" x14ac:dyDescent="0.35">
      <c r="A759" s="45">
        <v>7</v>
      </c>
      <c r="B759" s="45">
        <v>1</v>
      </c>
      <c r="C759" s="45" t="s">
        <v>41</v>
      </c>
      <c r="D759" s="45">
        <v>3</v>
      </c>
      <c r="E759" s="45">
        <v>587</v>
      </c>
      <c r="F759" s="45">
        <v>20</v>
      </c>
      <c r="G759" s="45">
        <v>2.17</v>
      </c>
      <c r="H759" s="45">
        <v>7.9000000000000001E-2</v>
      </c>
    </row>
    <row r="760" spans="1:8" x14ac:dyDescent="0.35">
      <c r="A760" s="45">
        <v>6</v>
      </c>
      <c r="B760" s="45">
        <v>3</v>
      </c>
      <c r="C760" s="45" t="s">
        <v>20</v>
      </c>
      <c r="D760" s="45">
        <v>3.7</v>
      </c>
      <c r="E760" s="45">
        <v>587</v>
      </c>
      <c r="F760" s="45">
        <v>20</v>
      </c>
      <c r="G760" s="45">
        <v>2.17</v>
      </c>
      <c r="H760" s="45">
        <v>7.8E-2</v>
      </c>
    </row>
    <row r="761" spans="1:8" x14ac:dyDescent="0.35">
      <c r="A761" s="45">
        <v>5</v>
      </c>
      <c r="B761" s="45">
        <v>5</v>
      </c>
      <c r="C761" s="45" t="s">
        <v>35</v>
      </c>
      <c r="D761" s="45">
        <v>1.1000000000000001</v>
      </c>
      <c r="E761" s="45">
        <v>587</v>
      </c>
      <c r="F761" s="45">
        <v>20</v>
      </c>
      <c r="G761" s="45">
        <v>2.17</v>
      </c>
      <c r="H761" s="45">
        <v>7.9000000000000001E-2</v>
      </c>
    </row>
    <row r="762" spans="1:8" x14ac:dyDescent="0.35">
      <c r="A762" s="45">
        <v>4</v>
      </c>
      <c r="B762" s="45">
        <v>7</v>
      </c>
      <c r="C762" s="45" t="s">
        <v>17</v>
      </c>
      <c r="D762" s="45">
        <v>2.9</v>
      </c>
      <c r="E762" s="45">
        <v>586</v>
      </c>
      <c r="F762" s="45">
        <v>20</v>
      </c>
      <c r="G762" s="45">
        <v>2.33</v>
      </c>
      <c r="H762" s="45">
        <v>7.9000000000000001E-2</v>
      </c>
    </row>
    <row r="763" spans="1:8" x14ac:dyDescent="0.35">
      <c r="A763" s="45">
        <v>3</v>
      </c>
      <c r="B763" s="45">
        <v>11</v>
      </c>
      <c r="C763" s="45" t="s">
        <v>23</v>
      </c>
      <c r="D763" s="45">
        <v>32.4</v>
      </c>
      <c r="E763" s="45">
        <v>585</v>
      </c>
      <c r="F763" s="45">
        <v>20</v>
      </c>
      <c r="G763" s="45">
        <v>2.5</v>
      </c>
      <c r="H763" s="45">
        <v>7.9000000000000001E-2</v>
      </c>
    </row>
    <row r="764" spans="1:8" x14ac:dyDescent="0.35">
      <c r="A764" s="45">
        <v>2</v>
      </c>
      <c r="B764" s="45">
        <v>1</v>
      </c>
      <c r="C764" s="45" t="s">
        <v>41</v>
      </c>
      <c r="D764" s="45">
        <v>3</v>
      </c>
      <c r="E764" s="45">
        <v>587</v>
      </c>
      <c r="F764" s="45">
        <v>20</v>
      </c>
      <c r="G764" s="45">
        <v>2.17</v>
      </c>
      <c r="H764" s="45">
        <v>7.9000000000000001E-2</v>
      </c>
    </row>
    <row r="765" spans="1:8" x14ac:dyDescent="0.35">
      <c r="A765" s="45">
        <v>1</v>
      </c>
      <c r="B765" s="45">
        <v>9</v>
      </c>
      <c r="C765" s="45" t="s">
        <v>44</v>
      </c>
      <c r="D765" s="45">
        <v>0.9</v>
      </c>
      <c r="E765" s="45">
        <v>585</v>
      </c>
      <c r="F765" s="45">
        <v>20</v>
      </c>
      <c r="G765" s="45">
        <v>2.5</v>
      </c>
      <c r="H765" s="45">
        <v>7.9000000000000001E-2</v>
      </c>
    </row>
    <row r="766" spans="1:8" x14ac:dyDescent="0.35">
      <c r="A766" s="40"/>
      <c r="B766" s="40"/>
      <c r="C766" s="40"/>
      <c r="D766" s="40"/>
      <c r="E766" s="40"/>
      <c r="F766" s="40"/>
      <c r="G766" s="40"/>
      <c r="H766" s="40"/>
    </row>
    <row r="767" spans="1:8" x14ac:dyDescent="0.35">
      <c r="A767" s="4" t="s">
        <v>1581</v>
      </c>
      <c r="B767" s="4" t="s">
        <v>1582</v>
      </c>
      <c r="C767" s="4" t="s">
        <v>1583</v>
      </c>
      <c r="D767" s="4" t="s">
        <v>1584</v>
      </c>
      <c r="E767" s="40"/>
      <c r="G767" s="4" t="s">
        <v>1592</v>
      </c>
      <c r="H767" s="4" t="s">
        <v>1594</v>
      </c>
    </row>
    <row r="768" spans="1:8" x14ac:dyDescent="0.35">
      <c r="A768" s="4" cm="1">
        <f t="array" ref="A768">INDEX($G$665:$G$714, 817 - ROW() + 1)</f>
        <v>1.87</v>
      </c>
      <c r="B768" s="4" cm="1">
        <f t="array" ref="B768">INDEX($G$614:$G$663, 817 - ROW() + 1)</f>
        <v>1.1100000000000001</v>
      </c>
      <c r="C768" s="4" cm="1">
        <f t="array" ref="C768">INDEX($G$563:$G$612, 817 - ROW() + 1)</f>
        <v>1.33</v>
      </c>
      <c r="D768" s="4" cm="1">
        <f t="array" ref="D768">INDEX($G$512:$G$561, 817 - ROW() + 1)</f>
        <v>1.42</v>
      </c>
      <c r="E768" s="40"/>
      <c r="F768" s="4">
        <v>20</v>
      </c>
      <c r="G768" s="41" t="e">
        <f>100%-#REF!</f>
        <v>#REF!</v>
      </c>
      <c r="H768" s="43">
        <f>AVERAGE(H206:H255,H461:H510,H716:H765)</f>
        <v>7.945333333333332E-2</v>
      </c>
    </row>
    <row r="769" spans="1:8" x14ac:dyDescent="0.35">
      <c r="A769" s="4" cm="1">
        <f t="array" ref="A769">INDEX($G$665:$G$714, 817 - ROW() + 1)</f>
        <v>1.73</v>
      </c>
      <c r="B769" s="4" cm="1">
        <f t="array" ref="B769">INDEX($G$614:$G$663, 817 - ROW() + 1)</f>
        <v>1</v>
      </c>
      <c r="C769" s="4" cm="1">
        <f t="array" ref="C769">INDEX($G$563:$G$612, 817 - ROW() + 1)</f>
        <v>1.33</v>
      </c>
      <c r="D769" s="4" cm="1">
        <f t="array" ref="D769">INDEX($G$512:$G$561, 817 - ROW() + 1)</f>
        <v>1.17</v>
      </c>
      <c r="E769" s="40"/>
      <c r="F769" s="4">
        <v>25</v>
      </c>
      <c r="G769" s="41" t="e">
        <f>100%-#REF!</f>
        <v>#REF!</v>
      </c>
      <c r="H769" s="43">
        <f>AVERAGE(H155:H204,H410:H459,H665:H714)</f>
        <v>9.9586666666666879E-2</v>
      </c>
    </row>
    <row r="770" spans="1:8" x14ac:dyDescent="0.35">
      <c r="A770" s="4" cm="1">
        <f t="array" ref="A770">INDEX($G$665:$G$714, 817 - ROW() + 1)</f>
        <v>1.73</v>
      </c>
      <c r="B770" s="4" cm="1">
        <f t="array" ref="B770">INDEX($G$614:$G$663, 817 - ROW() + 1)</f>
        <v>1.22</v>
      </c>
      <c r="C770" s="4" cm="1">
        <f t="array" ref="C770">INDEX($G$563:$G$612, 817 - ROW() + 1)</f>
        <v>1.05</v>
      </c>
      <c r="D770" s="4" cm="1">
        <f t="array" ref="D770">INDEX($G$512:$G$561, 817 - ROW() + 1)</f>
        <v>1.25</v>
      </c>
      <c r="E770" s="40"/>
      <c r="F770" s="4">
        <v>30</v>
      </c>
      <c r="G770" s="41" t="e">
        <f>100%-#REF!</f>
        <v>#REF!</v>
      </c>
      <c r="H770" s="43">
        <f>AVERAGE(H104:H153,H359:H408,H614:H663)</f>
        <v>0.1200866666666667</v>
      </c>
    </row>
    <row r="771" spans="1:8" x14ac:dyDescent="0.35">
      <c r="A771" s="4" cm="1">
        <f t="array" ref="A771">INDEX($G$665:$G$714, 817 - ROW() + 1)</f>
        <v>1.6</v>
      </c>
      <c r="B771" s="4" cm="1">
        <f t="array" ref="B771">INDEX($G$614:$G$663, 817 - ROW() + 1)</f>
        <v>1.33</v>
      </c>
      <c r="C771" s="4" cm="1">
        <f t="array" ref="C771">INDEX($G$563:$G$612, 817 - ROW() + 1)</f>
        <v>0.95</v>
      </c>
      <c r="D771" s="4" cm="1">
        <f t="array" ref="D771">INDEX($G$512:$G$561, 817 - ROW() + 1)</f>
        <v>1.17</v>
      </c>
      <c r="E771" s="40"/>
      <c r="F771" s="4">
        <v>35</v>
      </c>
      <c r="G771" s="41" t="e">
        <f>100%-#REF!</f>
        <v>#REF!</v>
      </c>
      <c r="H771" s="43">
        <f>AVERAGE(H53:H102,H308:H357,H563:H612)</f>
        <v>0.14049333333333333</v>
      </c>
    </row>
    <row r="772" spans="1:8" x14ac:dyDescent="0.35">
      <c r="A772" s="4" cm="1">
        <f t="array" ref="A772">INDEX($G$665:$G$714, 817 - ROW() + 1)</f>
        <v>2</v>
      </c>
      <c r="B772" s="4" cm="1">
        <f t="array" ref="B772">INDEX($G$614:$G$663, 817 - ROW() + 1)</f>
        <v>1.22</v>
      </c>
      <c r="C772" s="4" cm="1">
        <f t="array" ref="C772">INDEX($G$563:$G$612, 817 - ROW() + 1)</f>
        <v>1.1399999999999999</v>
      </c>
      <c r="D772" s="4" cm="1">
        <f t="array" ref="D772">INDEX($G$512:$G$561, 817 - ROW() + 1)</f>
        <v>1.25</v>
      </c>
      <c r="E772" s="40"/>
      <c r="F772" s="4">
        <v>40</v>
      </c>
      <c r="G772" s="41" t="e">
        <f>100%-#REF!</f>
        <v>#REF!</v>
      </c>
      <c r="H772" s="43">
        <f>AVERAGE(H2:H51,H257:H306,H512:H561)</f>
        <v>0.1619000000000001</v>
      </c>
    </row>
    <row r="773" spans="1:8" x14ac:dyDescent="0.35">
      <c r="A773" s="4" cm="1">
        <f t="array" ref="A773">INDEX($G$665:$G$714, 817 - ROW() + 1)</f>
        <v>1.87</v>
      </c>
      <c r="B773" s="4" cm="1">
        <f t="array" ref="B773">INDEX($G$614:$G$663, 817 - ROW() + 1)</f>
        <v>1.22</v>
      </c>
      <c r="C773" s="4" cm="1">
        <f t="array" ref="C773">INDEX($G$563:$G$612, 817 - ROW() + 1)</f>
        <v>1.05</v>
      </c>
      <c r="D773" s="4" cm="1">
        <f t="array" ref="D773">INDEX($G$512:$G$561, 817 - ROW() + 1)</f>
        <v>0.92</v>
      </c>
      <c r="E773" s="40"/>
      <c r="F773" s="4" t="s">
        <v>1589</v>
      </c>
      <c r="G773" s="42" t="e">
        <f>100%-#REF!</f>
        <v>#REF!</v>
      </c>
    </row>
    <row r="774" spans="1:8" x14ac:dyDescent="0.35">
      <c r="A774" s="4" cm="1">
        <f t="array" ref="A774">INDEX($G$665:$G$714, 817 - ROW() + 1)</f>
        <v>2</v>
      </c>
      <c r="B774" s="4" cm="1">
        <f t="array" ref="B774">INDEX($G$614:$G$663, 817 - ROW() + 1)</f>
        <v>1.22</v>
      </c>
      <c r="C774" s="4" cm="1">
        <f t="array" ref="C774">INDEX($G$563:$G$612, 817 - ROW() + 1)</f>
        <v>0.86</v>
      </c>
      <c r="D774" s="4" cm="1">
        <f t="array" ref="D774">INDEX($G$512:$G$561, 817 - ROW() + 1)</f>
        <v>1</v>
      </c>
      <c r="E774" s="40"/>
      <c r="G774" s="4" t="s">
        <v>1592</v>
      </c>
    </row>
    <row r="775" spans="1:8" x14ac:dyDescent="0.35">
      <c r="A775" s="4" cm="1">
        <f t="array" ref="A775">INDEX($G$665:$G$714, 817 - ROW() + 1)</f>
        <v>1.73</v>
      </c>
      <c r="B775" s="4" cm="1">
        <f t="array" ref="B775">INDEX($G$614:$G$663, 817 - ROW() + 1)</f>
        <v>1</v>
      </c>
      <c r="C775" s="4" cm="1">
        <f t="array" ref="C775">INDEX($G$563:$G$612, 817 - ROW() + 1)</f>
        <v>0.76</v>
      </c>
      <c r="D775" s="4" cm="1">
        <f t="array" ref="D775">INDEX($G$512:$G$561, 817 - ROW() + 1)</f>
        <v>0.83</v>
      </c>
      <c r="E775" s="40"/>
      <c r="G775" s="41" t="e">
        <f>100%-#REF!</f>
        <v>#REF!</v>
      </c>
    </row>
    <row r="776" spans="1:8" x14ac:dyDescent="0.35">
      <c r="A776" s="4" cm="1">
        <f t="array" ref="A776">INDEX($G$665:$G$714, 817 - ROW() + 1)</f>
        <v>1.87</v>
      </c>
      <c r="B776" s="4" cm="1">
        <f t="array" ref="B776">INDEX($G$614:$G$663, 817 - ROW() + 1)</f>
        <v>1.22</v>
      </c>
      <c r="C776" s="4" cm="1">
        <f t="array" ref="C776">INDEX($G$563:$G$612, 817 - ROW() + 1)</f>
        <v>1.05</v>
      </c>
      <c r="D776" s="4" cm="1">
        <f t="array" ref="D776">INDEX($G$512:$G$561, 817 - ROW() + 1)</f>
        <v>1</v>
      </c>
      <c r="E776" s="40"/>
      <c r="G776" s="4" t="e">
        <f>COUNTIF(#REF!, 0)</f>
        <v>#REF!</v>
      </c>
    </row>
    <row r="777" spans="1:8" x14ac:dyDescent="0.35">
      <c r="A777" s="4" cm="1">
        <f t="array" ref="A777">INDEX($G$665:$G$714, 817 - ROW() + 1)</f>
        <v>2</v>
      </c>
      <c r="B777" s="4" cm="1">
        <f t="array" ref="B777">INDEX($G$614:$G$663, 817 - ROW() + 1)</f>
        <v>1.1100000000000001</v>
      </c>
      <c r="C777" s="4" cm="1">
        <f t="array" ref="C777">INDEX($G$563:$G$612, 817 - ROW() + 1)</f>
        <v>0.95</v>
      </c>
      <c r="D777" s="4" cm="1">
        <f t="array" ref="D777">INDEX($G$512:$G$561, 817 - ROW() + 1)</f>
        <v>1.17</v>
      </c>
      <c r="E777" s="40"/>
    </row>
    <row r="778" spans="1:8" x14ac:dyDescent="0.35">
      <c r="A778" s="4" cm="1">
        <f t="array" ref="A778">INDEX($G$665:$G$714, 817 - ROW() + 1)</f>
        <v>1.73</v>
      </c>
      <c r="B778" s="4" cm="1">
        <f t="array" ref="B778">INDEX($G$614:$G$663, 817 - ROW() + 1)</f>
        <v>1.22</v>
      </c>
      <c r="C778" s="4" cm="1">
        <f t="array" ref="C778">INDEX($G$563:$G$612, 817 - ROW() + 1)</f>
        <v>1.05</v>
      </c>
      <c r="D778" s="4" cm="1">
        <f t="array" ref="D778">INDEX($G$512:$G$561, 817 - ROW() + 1)</f>
        <v>1</v>
      </c>
      <c r="E778" s="40"/>
      <c r="F778" s="4">
        <v>1</v>
      </c>
    </row>
    <row r="779" spans="1:8" x14ac:dyDescent="0.35">
      <c r="A779" s="4" cm="1">
        <f t="array" ref="A779">INDEX($G$665:$G$714, 817 - ROW() + 1)</f>
        <v>2</v>
      </c>
      <c r="B779" s="4" cm="1">
        <f t="array" ref="B779">INDEX($G$614:$G$663, 817 - ROW() + 1)</f>
        <v>1.22</v>
      </c>
      <c r="C779" s="4" cm="1">
        <f t="array" ref="C779">INDEX($G$563:$G$612, 817 - ROW() + 1)</f>
        <v>0.86</v>
      </c>
      <c r="D779" s="4" cm="1">
        <f t="array" ref="D779">INDEX($G$512:$G$561, 817 - ROW() + 1)</f>
        <v>1</v>
      </c>
      <c r="E779" s="40"/>
      <c r="F779" s="4">
        <v>2</v>
      </c>
    </row>
    <row r="780" spans="1:8" x14ac:dyDescent="0.35">
      <c r="A780" s="4" cm="1">
        <f t="array" ref="A780">INDEX($G$665:$G$714, 817 - ROW() + 1)</f>
        <v>1.6</v>
      </c>
      <c r="B780" s="4" cm="1">
        <f t="array" ref="B780">INDEX($G$614:$G$663, 817 - ROW() + 1)</f>
        <v>0.89</v>
      </c>
      <c r="C780" s="4" cm="1">
        <f t="array" ref="C780">INDEX($G$563:$G$612, 817 - ROW() + 1)</f>
        <v>1.05</v>
      </c>
      <c r="D780" s="4" cm="1">
        <f t="array" ref="D780">INDEX($G$512:$G$561, 817 - ROW() + 1)</f>
        <v>1.08</v>
      </c>
      <c r="E780" s="40"/>
      <c r="F780" s="4">
        <v>3</v>
      </c>
    </row>
    <row r="781" spans="1:8" x14ac:dyDescent="0.35">
      <c r="A781" s="4" cm="1">
        <f t="array" ref="A781">INDEX($G$665:$G$714, 817 - ROW() + 1)</f>
        <v>1.73</v>
      </c>
      <c r="B781" s="4" cm="1">
        <f t="array" ref="B781">INDEX($G$614:$G$663, 817 - ROW() + 1)</f>
        <v>1</v>
      </c>
      <c r="C781" s="4" cm="1">
        <f t="array" ref="C781">INDEX($G$563:$G$612, 817 - ROW() + 1)</f>
        <v>0.86</v>
      </c>
      <c r="D781" s="4" cm="1">
        <f t="array" ref="D781">INDEX($G$512:$G$561, 817 - ROW() + 1)</f>
        <v>1</v>
      </c>
      <c r="E781" s="40"/>
      <c r="F781" s="4">
        <v>4</v>
      </c>
    </row>
    <row r="782" spans="1:8" x14ac:dyDescent="0.35">
      <c r="A782" s="4" cm="1">
        <f t="array" ref="A782">INDEX($G$665:$G$714, 817 - ROW() + 1)</f>
        <v>1.6</v>
      </c>
      <c r="B782" s="4" cm="1">
        <f t="array" ref="B782">INDEX($G$614:$G$663, 817 - ROW() + 1)</f>
        <v>1.1100000000000001</v>
      </c>
      <c r="C782" s="4" cm="1">
        <f t="array" ref="C782">INDEX($G$563:$G$612, 817 - ROW() + 1)</f>
        <v>0.86</v>
      </c>
      <c r="D782" s="4" cm="1">
        <f t="array" ref="D782">INDEX($G$512:$G$561, 817 - ROW() + 1)</f>
        <v>1.08</v>
      </c>
      <c r="E782" s="40"/>
      <c r="F782" s="4">
        <v>5</v>
      </c>
    </row>
    <row r="783" spans="1:8" x14ac:dyDescent="0.35">
      <c r="A783" s="4" cm="1">
        <f t="array" ref="A783">INDEX($G$665:$G$714, 817 - ROW() + 1)</f>
        <v>1.6</v>
      </c>
      <c r="B783" s="4" cm="1">
        <f t="array" ref="B783">INDEX($G$614:$G$663, 817 - ROW() + 1)</f>
        <v>1.1100000000000001</v>
      </c>
      <c r="C783" s="4" cm="1">
        <f t="array" ref="C783">INDEX($G$563:$G$612, 817 - ROW() + 1)</f>
        <v>1.24</v>
      </c>
      <c r="D783" s="4" cm="1">
        <f t="array" ref="D783">INDEX($G$512:$G$561, 817 - ROW() + 1)</f>
        <v>0.92</v>
      </c>
      <c r="E783" s="40"/>
      <c r="F783" s="4">
        <v>6</v>
      </c>
    </row>
    <row r="784" spans="1:8" x14ac:dyDescent="0.35">
      <c r="A784" s="4" cm="1">
        <f t="array" ref="A784">INDEX($G$665:$G$714, 817 - ROW() + 1)</f>
        <v>1.73</v>
      </c>
      <c r="B784" s="4" cm="1">
        <f t="array" ref="B784">INDEX($G$614:$G$663, 817 - ROW() + 1)</f>
        <v>1</v>
      </c>
      <c r="C784" s="4" cm="1">
        <f t="array" ref="C784">INDEX($G$563:$G$612, 817 - ROW() + 1)</f>
        <v>0.95</v>
      </c>
      <c r="D784" s="4" cm="1">
        <f t="array" ref="D784">INDEX($G$512:$G$561, 817 - ROW() + 1)</f>
        <v>1</v>
      </c>
      <c r="E784" s="40"/>
      <c r="F784" s="4">
        <v>7</v>
      </c>
    </row>
    <row r="785" spans="1:6" x14ac:dyDescent="0.35">
      <c r="A785" s="4" cm="1">
        <f t="array" ref="A785">INDEX($G$665:$G$714, 817 - ROW() + 1)</f>
        <v>1.6</v>
      </c>
      <c r="B785" s="4" cm="1">
        <f t="array" ref="B785">INDEX($G$614:$G$663, 817 - ROW() + 1)</f>
        <v>1</v>
      </c>
      <c r="C785" s="4" cm="1">
        <f t="array" ref="C785">INDEX($G$563:$G$612, 817 - ROW() + 1)</f>
        <v>0.86</v>
      </c>
      <c r="D785" s="4" cm="1">
        <f t="array" ref="D785">INDEX($G$512:$G$561, 817 - ROW() + 1)</f>
        <v>0.92</v>
      </c>
      <c r="E785" s="40"/>
      <c r="F785" s="4">
        <v>8</v>
      </c>
    </row>
    <row r="786" spans="1:6" x14ac:dyDescent="0.35">
      <c r="A786" s="4" cm="1">
        <f t="array" ref="A786">INDEX($G$665:$G$714, 817 - ROW() + 1)</f>
        <v>1.87</v>
      </c>
      <c r="B786" s="4" cm="1">
        <f t="array" ref="B786">INDEX($G$614:$G$663, 817 - ROW() + 1)</f>
        <v>1.22</v>
      </c>
      <c r="C786" s="4" cm="1">
        <f t="array" ref="C786">INDEX($G$563:$G$612, 817 - ROW() + 1)</f>
        <v>0.86</v>
      </c>
      <c r="D786" s="4" cm="1">
        <f t="array" ref="D786">INDEX($G$512:$G$561, 817 - ROW() + 1)</f>
        <v>1</v>
      </c>
      <c r="E786" s="40"/>
      <c r="F786" s="4">
        <v>9</v>
      </c>
    </row>
    <row r="787" spans="1:6" x14ac:dyDescent="0.35">
      <c r="A787" s="4" cm="1">
        <f t="array" ref="A787">INDEX($G$665:$G$714, 817 - ROW() + 1)</f>
        <v>1.6</v>
      </c>
      <c r="B787" s="4" cm="1">
        <f t="array" ref="B787">INDEX($G$614:$G$663, 817 - ROW() + 1)</f>
        <v>1</v>
      </c>
      <c r="C787" s="4" cm="1">
        <f t="array" ref="C787">INDEX($G$563:$G$612, 817 - ROW() + 1)</f>
        <v>1.1399999999999999</v>
      </c>
      <c r="D787" s="4" cm="1">
        <f t="array" ref="D787">INDEX($G$512:$G$561, 817 - ROW() + 1)</f>
        <v>0.75</v>
      </c>
      <c r="E787" s="40"/>
      <c r="F787" s="4">
        <v>10</v>
      </c>
    </row>
    <row r="788" spans="1:6" x14ac:dyDescent="0.35">
      <c r="A788" s="4" cm="1">
        <f t="array" ref="A788">INDEX($G$665:$G$714, 817 - ROW() + 1)</f>
        <v>1.73</v>
      </c>
      <c r="B788" s="4" cm="1">
        <f t="array" ref="B788">INDEX($G$614:$G$663, 817 - ROW() + 1)</f>
        <v>1.22</v>
      </c>
      <c r="C788" s="4" cm="1">
        <f t="array" ref="C788">INDEX($G$563:$G$612, 817 - ROW() + 1)</f>
        <v>0.86</v>
      </c>
      <c r="D788" s="4" cm="1">
        <f t="array" ref="D788">INDEX($G$512:$G$561, 817 - ROW() + 1)</f>
        <v>0.83</v>
      </c>
      <c r="E788" s="40"/>
      <c r="F788" s="4">
        <v>11</v>
      </c>
    </row>
    <row r="789" spans="1:6" x14ac:dyDescent="0.35">
      <c r="A789" s="4" cm="1">
        <f t="array" ref="A789">INDEX($G$665:$G$714, 817 - ROW() + 1)</f>
        <v>1.6</v>
      </c>
      <c r="B789" s="4" cm="1">
        <f t="array" ref="B789">INDEX($G$614:$G$663, 817 - ROW() + 1)</f>
        <v>1</v>
      </c>
      <c r="C789" s="4" cm="1">
        <f t="array" ref="C789">INDEX($G$563:$G$612, 817 - ROW() + 1)</f>
        <v>1.05</v>
      </c>
      <c r="D789" s="4" cm="1">
        <f t="array" ref="D789">INDEX($G$512:$G$561, 817 - ROW() + 1)</f>
        <v>1</v>
      </c>
      <c r="E789" s="40"/>
      <c r="F789" s="4">
        <v>12</v>
      </c>
    </row>
    <row r="790" spans="1:6" x14ac:dyDescent="0.35">
      <c r="A790" s="4" cm="1">
        <f t="array" ref="A790">INDEX($G$665:$G$714, 817 - ROW() + 1)</f>
        <v>1.73</v>
      </c>
      <c r="B790" s="4" cm="1">
        <f t="array" ref="B790">INDEX($G$614:$G$663, 817 - ROW() + 1)</f>
        <v>1</v>
      </c>
      <c r="C790" s="4" cm="1">
        <f t="array" ref="C790">INDEX($G$563:$G$612, 817 - ROW() + 1)</f>
        <v>1.1399999999999999</v>
      </c>
      <c r="D790" s="4" cm="1">
        <f t="array" ref="D790">INDEX($G$512:$G$561, 817 - ROW() + 1)</f>
        <v>0.92</v>
      </c>
      <c r="E790" s="40"/>
      <c r="F790" s="4">
        <v>13</v>
      </c>
    </row>
    <row r="791" spans="1:6" x14ac:dyDescent="0.35">
      <c r="A791" s="4" cm="1">
        <f t="array" ref="A791">INDEX($G$665:$G$714, 817 - ROW() + 1)</f>
        <v>1.87</v>
      </c>
      <c r="B791" s="4" cm="1">
        <f t="array" ref="B791">INDEX($G$614:$G$663, 817 - ROW() + 1)</f>
        <v>1.22</v>
      </c>
      <c r="C791" s="4" cm="1">
        <f t="array" ref="C791">INDEX($G$563:$G$612, 817 - ROW() + 1)</f>
        <v>1.05</v>
      </c>
      <c r="D791" s="4" cm="1">
        <f t="array" ref="D791">INDEX($G$512:$G$561, 817 - ROW() + 1)</f>
        <v>0.92</v>
      </c>
      <c r="E791" s="40"/>
      <c r="F791" s="4">
        <v>14</v>
      </c>
    </row>
    <row r="792" spans="1:6" x14ac:dyDescent="0.35">
      <c r="A792" s="4" cm="1">
        <f t="array" ref="A792">INDEX($G$665:$G$714, 817 - ROW() + 1)</f>
        <v>1.6</v>
      </c>
      <c r="B792" s="4" cm="1">
        <f t="array" ref="B792">INDEX($G$614:$G$663, 817 - ROW() + 1)</f>
        <v>1.33</v>
      </c>
      <c r="C792" s="4" cm="1">
        <f t="array" ref="C792">INDEX($G$563:$G$612, 817 - ROW() + 1)</f>
        <v>0.86</v>
      </c>
      <c r="D792" s="4" cm="1">
        <f t="array" ref="D792">INDEX($G$512:$G$561, 817 - ROW() + 1)</f>
        <v>0.67</v>
      </c>
      <c r="E792" s="40"/>
      <c r="F792" s="4">
        <v>15</v>
      </c>
    </row>
    <row r="793" spans="1:6" x14ac:dyDescent="0.35">
      <c r="A793" s="4" cm="1">
        <f t="array" ref="A793">INDEX($G$665:$G$714, 817 - ROW() + 1)</f>
        <v>1.47</v>
      </c>
      <c r="B793" s="4" cm="1">
        <f t="array" ref="B793">INDEX($G$614:$G$663, 817 - ROW() + 1)</f>
        <v>1.22</v>
      </c>
      <c r="C793" s="4" cm="1">
        <f t="array" ref="C793">INDEX($G$563:$G$612, 817 - ROW() + 1)</f>
        <v>1.05</v>
      </c>
      <c r="D793" s="4" cm="1">
        <f t="array" ref="D793">INDEX($G$512:$G$561, 817 - ROW() + 1)</f>
        <v>1.17</v>
      </c>
      <c r="E793" s="40"/>
      <c r="F793" s="4">
        <v>16</v>
      </c>
    </row>
    <row r="794" spans="1:6" x14ac:dyDescent="0.35">
      <c r="A794" s="4" cm="1">
        <f t="array" ref="A794">INDEX($G$665:$G$714, 817 - ROW() + 1)</f>
        <v>1.2</v>
      </c>
      <c r="B794" s="4" cm="1">
        <f t="array" ref="B794">INDEX($G$614:$G$663, 817 - ROW() + 1)</f>
        <v>1.33</v>
      </c>
      <c r="C794" s="4" cm="1">
        <f t="array" ref="C794">INDEX($G$563:$G$612, 817 - ROW() + 1)</f>
        <v>0.86</v>
      </c>
      <c r="D794" s="4" cm="1">
        <f t="array" ref="D794">INDEX($G$512:$G$561, 817 - ROW() + 1)</f>
        <v>0.83</v>
      </c>
      <c r="E794" s="40"/>
      <c r="F794" s="4">
        <v>17</v>
      </c>
    </row>
    <row r="795" spans="1:6" x14ac:dyDescent="0.35">
      <c r="A795" s="4" cm="1">
        <f t="array" ref="A795">INDEX($G$665:$G$714, 817 - ROW() + 1)</f>
        <v>1.47</v>
      </c>
      <c r="B795" s="4" cm="1">
        <f t="array" ref="B795">INDEX($G$614:$G$663, 817 - ROW() + 1)</f>
        <v>1.33</v>
      </c>
      <c r="C795" s="4" cm="1">
        <f t="array" ref="C795">INDEX($G$563:$G$612, 817 - ROW() + 1)</f>
        <v>0.76</v>
      </c>
      <c r="D795" s="4" cm="1">
        <f t="array" ref="D795">INDEX($G$512:$G$561, 817 - ROW() + 1)</f>
        <v>0.92</v>
      </c>
      <c r="E795" s="40"/>
      <c r="F795" s="4">
        <v>18</v>
      </c>
    </row>
    <row r="796" spans="1:6" x14ac:dyDescent="0.35">
      <c r="A796" s="4" cm="1">
        <f t="array" ref="A796">INDEX($G$665:$G$714, 817 - ROW() + 1)</f>
        <v>1.6</v>
      </c>
      <c r="B796" s="4" cm="1">
        <f t="array" ref="B796">INDEX($G$614:$G$663, 817 - ROW() + 1)</f>
        <v>1.22</v>
      </c>
      <c r="C796" s="4" cm="1">
        <f t="array" ref="C796">INDEX($G$563:$G$612, 817 - ROW() + 1)</f>
        <v>0.86</v>
      </c>
      <c r="D796" s="4" cm="1">
        <f t="array" ref="D796">INDEX($G$512:$G$561, 817 - ROW() + 1)</f>
        <v>0.92</v>
      </c>
      <c r="E796" s="40"/>
      <c r="F796" s="4">
        <v>19</v>
      </c>
    </row>
    <row r="797" spans="1:6" x14ac:dyDescent="0.35">
      <c r="A797" s="4" cm="1">
        <f t="array" ref="A797">INDEX($G$665:$G$714, 817 - ROW() + 1)</f>
        <v>1.47</v>
      </c>
      <c r="B797" s="4" cm="1">
        <f t="array" ref="B797">INDEX($G$614:$G$663, 817 - ROW() + 1)</f>
        <v>1.22</v>
      </c>
      <c r="C797" s="4" cm="1">
        <f t="array" ref="C797">INDEX($G$563:$G$612, 817 - ROW() + 1)</f>
        <v>1.1399999999999999</v>
      </c>
      <c r="D797" s="4" cm="1">
        <f t="array" ref="D797">INDEX($G$512:$G$561, 817 - ROW() + 1)</f>
        <v>1</v>
      </c>
      <c r="E797" s="40"/>
      <c r="F797" s="4">
        <v>20</v>
      </c>
    </row>
    <row r="798" spans="1:6" x14ac:dyDescent="0.35">
      <c r="A798" s="4" cm="1">
        <f t="array" ref="A798">INDEX($G$665:$G$714, 817 - ROW() + 1)</f>
        <v>1.47</v>
      </c>
      <c r="B798" s="4" cm="1">
        <f t="array" ref="B798">INDEX($G$614:$G$663, 817 - ROW() + 1)</f>
        <v>1.22</v>
      </c>
      <c r="C798" s="4" cm="1">
        <f t="array" ref="C798">INDEX($G$563:$G$612, 817 - ROW() + 1)</f>
        <v>0.86</v>
      </c>
      <c r="D798" s="4" cm="1">
        <f t="array" ref="D798">INDEX($G$512:$G$561, 817 - ROW() + 1)</f>
        <v>0.83</v>
      </c>
      <c r="E798" s="40"/>
      <c r="F798" s="4">
        <v>21</v>
      </c>
    </row>
    <row r="799" spans="1:6" x14ac:dyDescent="0.35">
      <c r="A799" s="4" cm="1">
        <f t="array" ref="A799">INDEX($G$665:$G$714, 817 - ROW() + 1)</f>
        <v>1.47</v>
      </c>
      <c r="B799" s="4" cm="1">
        <f t="array" ref="B799">INDEX($G$614:$G$663, 817 - ROW() + 1)</f>
        <v>1.33</v>
      </c>
      <c r="C799" s="4" cm="1">
        <f t="array" ref="C799">INDEX($G$563:$G$612, 817 - ROW() + 1)</f>
        <v>0.86</v>
      </c>
      <c r="D799" s="4" cm="1">
        <f t="array" ref="D799">INDEX($G$512:$G$561, 817 - ROW() + 1)</f>
        <v>0.92</v>
      </c>
      <c r="E799" s="40"/>
      <c r="F799" s="4">
        <v>22</v>
      </c>
    </row>
    <row r="800" spans="1:6" x14ac:dyDescent="0.35">
      <c r="A800" s="4" cm="1">
        <f t="array" ref="A800">INDEX($G$665:$G$714, 817 - ROW() + 1)</f>
        <v>1.47</v>
      </c>
      <c r="B800" s="4" cm="1">
        <f t="array" ref="B800">INDEX($G$614:$G$663, 817 - ROW() + 1)</f>
        <v>1.22</v>
      </c>
      <c r="C800" s="4" cm="1">
        <f t="array" ref="C800">INDEX($G$563:$G$612, 817 - ROW() + 1)</f>
        <v>1.1399999999999999</v>
      </c>
      <c r="D800" s="4" cm="1">
        <f t="array" ref="D800">INDEX($G$512:$G$561, 817 - ROW() + 1)</f>
        <v>0.92</v>
      </c>
      <c r="E800" s="40"/>
      <c r="F800" s="4">
        <v>23</v>
      </c>
    </row>
    <row r="801" spans="1:6" x14ac:dyDescent="0.35">
      <c r="A801" s="4" cm="1">
        <f t="array" ref="A801">INDEX($G$665:$G$714, 817 - ROW() + 1)</f>
        <v>1.6</v>
      </c>
      <c r="B801" s="4" cm="1">
        <f t="array" ref="B801">INDEX($G$614:$G$663, 817 - ROW() + 1)</f>
        <v>1.33</v>
      </c>
      <c r="C801" s="4" cm="1">
        <f t="array" ref="C801">INDEX($G$563:$G$612, 817 - ROW() + 1)</f>
        <v>1.05</v>
      </c>
      <c r="D801" s="4" cm="1">
        <f t="array" ref="D801">INDEX($G$512:$G$561, 817 - ROW() + 1)</f>
        <v>1</v>
      </c>
      <c r="E801" s="40"/>
      <c r="F801" s="4">
        <v>24</v>
      </c>
    </row>
    <row r="802" spans="1:6" x14ac:dyDescent="0.35">
      <c r="A802" s="4" cm="1">
        <f t="array" ref="A802">INDEX($G$665:$G$714, 817 - ROW() + 1)</f>
        <v>1.47</v>
      </c>
      <c r="B802" s="4" cm="1">
        <f t="array" ref="B802">INDEX($G$614:$G$663, 817 - ROW() + 1)</f>
        <v>1.33</v>
      </c>
      <c r="C802" s="4" cm="1">
        <f t="array" ref="C802">INDEX($G$563:$G$612, 817 - ROW() + 1)</f>
        <v>1.05</v>
      </c>
      <c r="D802" s="4" cm="1">
        <f t="array" ref="D802">INDEX($G$512:$G$561, 817 - ROW() + 1)</f>
        <v>1</v>
      </c>
      <c r="E802" s="40"/>
      <c r="F802" s="4">
        <v>25</v>
      </c>
    </row>
    <row r="803" spans="1:6" x14ac:dyDescent="0.35">
      <c r="A803" s="4" cm="1">
        <f t="array" ref="A803">INDEX($G$665:$G$714, 817 - ROW() + 1)</f>
        <v>1.47</v>
      </c>
      <c r="B803" s="4" cm="1">
        <f t="array" ref="B803">INDEX($G$614:$G$663, 817 - ROW() + 1)</f>
        <v>1</v>
      </c>
      <c r="C803" s="4" cm="1">
        <f t="array" ref="C803">INDEX($G$563:$G$612, 817 - ROW() + 1)</f>
        <v>0.76</v>
      </c>
      <c r="D803" s="4" cm="1">
        <f t="array" ref="D803">INDEX($G$512:$G$561, 817 - ROW() + 1)</f>
        <v>0.75</v>
      </c>
      <c r="E803" s="40"/>
      <c r="F803" s="4">
        <v>26</v>
      </c>
    </row>
    <row r="804" spans="1:6" x14ac:dyDescent="0.35">
      <c r="A804" s="4" cm="1">
        <f t="array" ref="A804">INDEX($G$665:$G$714, 817 - ROW() + 1)</f>
        <v>1.47</v>
      </c>
      <c r="B804" s="4" cm="1">
        <f t="array" ref="B804">INDEX($G$614:$G$663, 817 - ROW() + 1)</f>
        <v>1.33</v>
      </c>
      <c r="C804" s="4" cm="1">
        <f t="array" ref="C804">INDEX($G$563:$G$612, 817 - ROW() + 1)</f>
        <v>1.05</v>
      </c>
      <c r="D804" s="4" cm="1">
        <f t="array" ref="D804">INDEX($G$512:$G$561, 817 - ROW() + 1)</f>
        <v>0.92</v>
      </c>
      <c r="E804" s="40"/>
      <c r="F804" s="4">
        <v>27</v>
      </c>
    </row>
    <row r="805" spans="1:6" x14ac:dyDescent="0.35">
      <c r="A805" s="4" cm="1">
        <f t="array" ref="A805">INDEX($G$665:$G$714, 817 - ROW() + 1)</f>
        <v>1.47</v>
      </c>
      <c r="B805" s="4" cm="1">
        <f t="array" ref="B805">INDEX($G$614:$G$663, 817 - ROW() + 1)</f>
        <v>1.56</v>
      </c>
      <c r="C805" s="4" cm="1">
        <f t="array" ref="C805">INDEX($G$563:$G$612, 817 - ROW() + 1)</f>
        <v>1.05</v>
      </c>
      <c r="D805" s="4" cm="1">
        <f t="array" ref="D805">INDEX($G$512:$G$561, 817 - ROW() + 1)</f>
        <v>0.83</v>
      </c>
      <c r="E805" s="40"/>
      <c r="F805" s="4">
        <v>28</v>
      </c>
    </row>
    <row r="806" spans="1:6" x14ac:dyDescent="0.35">
      <c r="A806" s="4" cm="1">
        <f t="array" ref="A806">INDEX($G$665:$G$714, 817 - ROW() + 1)</f>
        <v>1.73</v>
      </c>
      <c r="B806" s="4" cm="1">
        <f t="array" ref="B806">INDEX($G$614:$G$663, 817 - ROW() + 1)</f>
        <v>1.33</v>
      </c>
      <c r="C806" s="4" cm="1">
        <f t="array" ref="C806">INDEX($G$563:$G$612, 817 - ROW() + 1)</f>
        <v>0.86</v>
      </c>
      <c r="D806" s="4" cm="1">
        <f t="array" ref="D806">INDEX($G$512:$G$561, 817 - ROW() + 1)</f>
        <v>1</v>
      </c>
      <c r="E806" s="40"/>
      <c r="F806" s="4">
        <v>29</v>
      </c>
    </row>
    <row r="807" spans="1:6" x14ac:dyDescent="0.35">
      <c r="A807" s="4" cm="1">
        <f t="array" ref="A807">INDEX($G$665:$G$714, 817 - ROW() + 1)</f>
        <v>1.6</v>
      </c>
      <c r="B807" s="4" cm="1">
        <f t="array" ref="B807">INDEX($G$614:$G$663, 817 - ROW() + 1)</f>
        <v>1.33</v>
      </c>
      <c r="C807" s="4" cm="1">
        <f t="array" ref="C807">INDEX($G$563:$G$612, 817 - ROW() + 1)</f>
        <v>0.95</v>
      </c>
      <c r="D807" s="4" cm="1">
        <f t="array" ref="D807">INDEX($G$512:$G$561, 817 - ROW() + 1)</f>
        <v>0.83</v>
      </c>
      <c r="E807" s="40"/>
      <c r="F807" s="4">
        <v>30</v>
      </c>
    </row>
    <row r="808" spans="1:6" x14ac:dyDescent="0.35">
      <c r="A808" s="4" cm="1">
        <f t="array" ref="A808">INDEX($G$665:$G$714, 817 - ROW() + 1)</f>
        <v>1.2</v>
      </c>
      <c r="B808" s="4" cm="1">
        <f t="array" ref="B808">INDEX($G$614:$G$663, 817 - ROW() + 1)</f>
        <v>1.56</v>
      </c>
      <c r="C808" s="4" cm="1">
        <f t="array" ref="C808">INDEX($G$563:$G$612, 817 - ROW() + 1)</f>
        <v>0.86</v>
      </c>
      <c r="D808" s="4" cm="1">
        <f t="array" ref="D808">INDEX($G$512:$G$561, 817 - ROW() + 1)</f>
        <v>0.75</v>
      </c>
      <c r="E808" s="40"/>
      <c r="F808" s="4">
        <v>31</v>
      </c>
    </row>
    <row r="809" spans="1:6" x14ac:dyDescent="0.35">
      <c r="A809" s="4" cm="1">
        <f t="array" ref="A809">INDEX($G$665:$G$714, 817 - ROW() + 1)</f>
        <v>1.47</v>
      </c>
      <c r="B809" s="4" cm="1">
        <f t="array" ref="B809">INDEX($G$614:$G$663, 817 - ROW() + 1)</f>
        <v>1.1100000000000001</v>
      </c>
      <c r="C809" s="4" cm="1">
        <f t="array" ref="C809">INDEX($G$563:$G$612, 817 - ROW() + 1)</f>
        <v>0.95</v>
      </c>
      <c r="D809" s="4" cm="1">
        <f t="array" ref="D809">INDEX($G$512:$G$561, 817 - ROW() + 1)</f>
        <v>1</v>
      </c>
      <c r="E809" s="40"/>
      <c r="F809" s="4">
        <v>32</v>
      </c>
    </row>
    <row r="810" spans="1:6" x14ac:dyDescent="0.35">
      <c r="A810" s="4" cm="1">
        <f t="array" ref="A810">INDEX($G$665:$G$714, 817 - ROW() + 1)</f>
        <v>1.33</v>
      </c>
      <c r="B810" s="4" cm="1">
        <f t="array" ref="B810">INDEX($G$614:$G$663, 817 - ROW() + 1)</f>
        <v>1.56</v>
      </c>
      <c r="C810" s="4" cm="1">
        <f t="array" ref="C810">INDEX($G$563:$G$612, 817 - ROW() + 1)</f>
        <v>1.1399999999999999</v>
      </c>
      <c r="D810" s="4" cm="1">
        <f t="array" ref="D810">INDEX($G$512:$G$561, 817 - ROW() + 1)</f>
        <v>0.83</v>
      </c>
      <c r="E810" s="40"/>
      <c r="F810" s="4">
        <v>33</v>
      </c>
    </row>
    <row r="811" spans="1:6" x14ac:dyDescent="0.35">
      <c r="A811" s="4" cm="1">
        <f t="array" ref="A811">INDEX($G$665:$G$714, 817 - ROW() + 1)</f>
        <v>1.33</v>
      </c>
      <c r="B811" s="4" cm="1">
        <f t="array" ref="B811">INDEX($G$614:$G$663, 817 - ROW() + 1)</f>
        <v>1.56</v>
      </c>
      <c r="C811" s="4" cm="1">
        <f t="array" ref="C811">INDEX($G$563:$G$612, 817 - ROW() + 1)</f>
        <v>1.05</v>
      </c>
      <c r="D811" s="4" cm="1">
        <f t="array" ref="D811">INDEX($G$512:$G$561, 817 - ROW() + 1)</f>
        <v>1</v>
      </c>
      <c r="E811" s="40"/>
      <c r="F811" s="4">
        <v>34</v>
      </c>
    </row>
    <row r="812" spans="1:6" x14ac:dyDescent="0.35">
      <c r="A812" s="4" cm="1">
        <f t="array" ref="A812">INDEX($G$665:$G$714, 817 - ROW() + 1)</f>
        <v>1.47</v>
      </c>
      <c r="B812" s="4" cm="1">
        <f t="array" ref="B812">INDEX($G$614:$G$663, 817 - ROW() + 1)</f>
        <v>1.22</v>
      </c>
      <c r="C812" s="4" cm="1">
        <f t="array" ref="C812">INDEX($G$563:$G$612, 817 - ROW() + 1)</f>
        <v>1.05</v>
      </c>
      <c r="D812" s="4" cm="1">
        <f t="array" ref="D812">INDEX($G$512:$G$561, 817 - ROW() + 1)</f>
        <v>1.17</v>
      </c>
      <c r="E812" s="40"/>
      <c r="F812" s="4">
        <v>35</v>
      </c>
    </row>
    <row r="813" spans="1:6" x14ac:dyDescent="0.35">
      <c r="A813" s="4" cm="1">
        <f t="array" ref="A813">INDEX($G$665:$G$714, 817 - ROW() + 1)</f>
        <v>1.6</v>
      </c>
      <c r="B813" s="4" cm="1">
        <f t="array" ref="B813">INDEX($G$614:$G$663, 817 - ROW() + 1)</f>
        <v>1.44</v>
      </c>
      <c r="C813" s="4" cm="1">
        <f t="array" ref="C813">INDEX($G$563:$G$612, 817 - ROW() + 1)</f>
        <v>0.95</v>
      </c>
      <c r="D813" s="4" cm="1">
        <f t="array" ref="D813">INDEX($G$512:$G$561, 817 - ROW() + 1)</f>
        <v>1</v>
      </c>
      <c r="E813" s="40"/>
      <c r="F813" s="4">
        <v>36</v>
      </c>
    </row>
    <row r="814" spans="1:6" x14ac:dyDescent="0.35">
      <c r="A814" s="4" cm="1">
        <f t="array" ref="A814">INDEX($G$665:$G$714, 817 - ROW() + 1)</f>
        <v>1.2</v>
      </c>
      <c r="B814" s="4" cm="1">
        <f t="array" ref="B814">INDEX($G$614:$G$663, 817 - ROW() + 1)</f>
        <v>1.22</v>
      </c>
      <c r="C814" s="4" cm="1">
        <f t="array" ref="C814">INDEX($G$563:$G$612, 817 - ROW() + 1)</f>
        <v>1.1399999999999999</v>
      </c>
      <c r="D814" s="4" cm="1">
        <f t="array" ref="D814">INDEX($G$512:$G$561, 817 - ROW() + 1)</f>
        <v>0.83</v>
      </c>
      <c r="E814" s="40"/>
      <c r="F814" s="4">
        <v>37</v>
      </c>
    </row>
    <row r="815" spans="1:6" x14ac:dyDescent="0.35">
      <c r="A815" s="4" cm="1">
        <f t="array" ref="A815">INDEX($G$665:$G$714, 817 - ROW() + 1)</f>
        <v>1.33</v>
      </c>
      <c r="B815" s="4" cm="1">
        <f t="array" ref="B815">INDEX($G$614:$G$663, 817 - ROW() + 1)</f>
        <v>1.22</v>
      </c>
      <c r="C815" s="4" cm="1">
        <f t="array" ref="C815">INDEX($G$563:$G$612, 817 - ROW() + 1)</f>
        <v>1.05</v>
      </c>
      <c r="D815" s="4" cm="1">
        <f t="array" ref="D815">INDEX($G$512:$G$561, 817 - ROW() + 1)</f>
        <v>0.75</v>
      </c>
      <c r="E815" s="40"/>
      <c r="F815" s="4">
        <v>38</v>
      </c>
    </row>
    <row r="816" spans="1:6" x14ac:dyDescent="0.35">
      <c r="A816" s="4" cm="1">
        <f t="array" ref="A816">INDEX($G$665:$G$714, 817 - ROW() + 1)</f>
        <v>1.47</v>
      </c>
      <c r="B816" s="4" cm="1">
        <f t="array" ref="B816">INDEX($G$614:$G$663, 817 - ROW() + 1)</f>
        <v>1.56</v>
      </c>
      <c r="C816" s="4" cm="1">
        <f t="array" ref="C816">INDEX($G$563:$G$612, 817 - ROW() + 1)</f>
        <v>0.95</v>
      </c>
      <c r="D816" s="4" cm="1">
        <f t="array" ref="D816">INDEX($G$512:$G$561, 817 - ROW() + 1)</f>
        <v>0.83</v>
      </c>
      <c r="E816" s="40"/>
      <c r="F816" s="4">
        <v>39</v>
      </c>
    </row>
    <row r="817" spans="1:6" x14ac:dyDescent="0.35">
      <c r="A817" s="4" cm="1">
        <f t="array" ref="A817">INDEX($G$665:$G$714, 817 - ROW() + 1)</f>
        <v>1.47</v>
      </c>
      <c r="B817" s="4" cm="1">
        <f t="array" ref="B817">INDEX($G$614:$G$663, 817 - ROW() + 1)</f>
        <v>1.33</v>
      </c>
      <c r="C817" s="4" cm="1">
        <f t="array" ref="C817">INDEX($G$563:$G$612, 817 - ROW() + 1)</f>
        <v>1.1399999999999999</v>
      </c>
      <c r="D817" s="4" cm="1">
        <f t="array" ref="D817">INDEX($G$512:$G$561, 817 - ROW() + 1)</f>
        <v>1.08</v>
      </c>
      <c r="E817" s="40"/>
      <c r="F817" s="4">
        <v>40</v>
      </c>
    </row>
    <row r="818" spans="1:6" x14ac:dyDescent="0.35">
      <c r="A818" s="4" cm="1">
        <f t="array" ref="A818">INDEX($G$410:$G$459, 867 - ROW() + 1)</f>
        <v>1.6</v>
      </c>
      <c r="B818" s="4" cm="1">
        <f t="array" ref="B818">INDEX($G$359:$G$408, 867 - ROW() + 1)</f>
        <v>1.1100000000000001</v>
      </c>
      <c r="C818" s="4" cm="1">
        <f t="array" ref="C818">INDEX($G$308:$G$357, 867 - ROW() + 1)</f>
        <v>1.33</v>
      </c>
      <c r="D818" s="4" cm="1">
        <f t="array" ref="D818">INDEX($G$257:$G$306, 867 - ROW() + 1)</f>
        <v>1.08</v>
      </c>
      <c r="E818" s="40"/>
      <c r="F818" s="4">
        <v>41</v>
      </c>
    </row>
    <row r="819" spans="1:6" x14ac:dyDescent="0.35">
      <c r="A819" s="4" cm="1">
        <f t="array" ref="A819">INDEX($G$410:$G$459, 867 - ROW() + 1)</f>
        <v>1.47</v>
      </c>
      <c r="B819" s="4" cm="1">
        <f t="array" ref="B819">INDEX($G$359:$G$408, 867 - ROW() + 1)</f>
        <v>1</v>
      </c>
      <c r="C819" s="4" cm="1">
        <f t="array" ref="C819">INDEX($G$308:$G$357, 867 - ROW() + 1)</f>
        <v>1.33</v>
      </c>
      <c r="D819" s="4" cm="1">
        <f t="array" ref="D819">INDEX($G$257:$G$306, 867 - ROW() + 1)</f>
        <v>0.75</v>
      </c>
      <c r="E819" s="40"/>
      <c r="F819" s="4">
        <v>42</v>
      </c>
    </row>
    <row r="820" spans="1:6" x14ac:dyDescent="0.35">
      <c r="A820" s="4" cm="1">
        <f t="array" ref="A820">INDEX($G$410:$G$459, 867 - ROW() + 1)</f>
        <v>1.47</v>
      </c>
      <c r="B820" s="4" cm="1">
        <f t="array" ref="B820">INDEX($G$359:$G$408, 867 - ROW() + 1)</f>
        <v>1.22</v>
      </c>
      <c r="C820" s="4" cm="1">
        <f t="array" ref="C820">INDEX($G$308:$G$357, 867 - ROW() + 1)</f>
        <v>1.05</v>
      </c>
      <c r="D820" s="4" cm="1">
        <f t="array" ref="D820">INDEX($G$257:$G$306, 867 - ROW() + 1)</f>
        <v>0.75</v>
      </c>
      <c r="E820" s="40"/>
      <c r="F820" s="4">
        <v>43</v>
      </c>
    </row>
    <row r="821" spans="1:6" x14ac:dyDescent="0.35">
      <c r="A821" s="4" cm="1">
        <f t="array" ref="A821">INDEX($G$410:$G$459, 867 - ROW() + 1)</f>
        <v>1.47</v>
      </c>
      <c r="B821" s="4" cm="1">
        <f t="array" ref="B821">INDEX($G$359:$G$408, 867 - ROW() + 1)</f>
        <v>1.33</v>
      </c>
      <c r="C821" s="4" cm="1">
        <f t="array" ref="C821">INDEX($G$308:$G$357, 867 - ROW() + 1)</f>
        <v>0.95</v>
      </c>
      <c r="D821" s="4" cm="1">
        <f t="array" ref="D821">INDEX($G$257:$G$306, 867 - ROW() + 1)</f>
        <v>0.67</v>
      </c>
      <c r="E821" s="40"/>
      <c r="F821" s="4">
        <v>44</v>
      </c>
    </row>
    <row r="822" spans="1:6" x14ac:dyDescent="0.35">
      <c r="A822" s="4" cm="1">
        <f t="array" ref="A822">INDEX($G$410:$G$459, 867 - ROW() + 1)</f>
        <v>1.73</v>
      </c>
      <c r="B822" s="4" cm="1">
        <f t="array" ref="B822">INDEX($G$359:$G$408, 867 - ROW() + 1)</f>
        <v>1.22</v>
      </c>
      <c r="C822" s="4" cm="1">
        <f t="array" ref="C822">INDEX($G$308:$G$357, 867 - ROW() + 1)</f>
        <v>1.1399999999999999</v>
      </c>
      <c r="D822" s="4" cm="1">
        <f t="array" ref="D822">INDEX($G$257:$G$306, 867 - ROW() + 1)</f>
        <v>0.92</v>
      </c>
      <c r="E822" s="40"/>
      <c r="F822" s="4">
        <v>45</v>
      </c>
    </row>
    <row r="823" spans="1:6" x14ac:dyDescent="0.35">
      <c r="A823" s="4" cm="1">
        <f t="array" ref="A823">INDEX($G$410:$G$459, 867 - ROW() + 1)</f>
        <v>1.6</v>
      </c>
      <c r="B823" s="4" cm="1">
        <f t="array" ref="B823">INDEX($G$359:$G$408, 867 - ROW() + 1)</f>
        <v>1.22</v>
      </c>
      <c r="C823" s="4" cm="1">
        <f t="array" ref="C823">INDEX($G$308:$G$357, 867 - ROW() + 1)</f>
        <v>1.05</v>
      </c>
      <c r="D823" s="4" cm="1">
        <f t="array" ref="D823">INDEX($G$257:$G$306, 867 - ROW() + 1)</f>
        <v>0.75</v>
      </c>
      <c r="E823" s="40"/>
      <c r="F823" s="4">
        <v>46</v>
      </c>
    </row>
    <row r="824" spans="1:6" x14ac:dyDescent="0.35">
      <c r="A824" s="4" cm="1">
        <f t="array" ref="A824">INDEX($G$410:$G$459, 867 - ROW() + 1)</f>
        <v>1.6</v>
      </c>
      <c r="B824" s="4" cm="1">
        <f t="array" ref="B824">INDEX($G$359:$G$408, 867 - ROW() + 1)</f>
        <v>1.22</v>
      </c>
      <c r="C824" s="4" cm="1">
        <f t="array" ref="C824">INDEX($G$308:$G$357, 867 - ROW() + 1)</f>
        <v>0.86</v>
      </c>
      <c r="D824" s="4" cm="1">
        <f t="array" ref="D824">INDEX($G$257:$G$306, 867 - ROW() + 1)</f>
        <v>0.92</v>
      </c>
      <c r="E824" s="40"/>
      <c r="F824" s="4">
        <v>47</v>
      </c>
    </row>
    <row r="825" spans="1:6" x14ac:dyDescent="0.35">
      <c r="A825" s="4" cm="1">
        <f t="array" ref="A825">INDEX($G$410:$G$459, 867 - ROW() + 1)</f>
        <v>1.6</v>
      </c>
      <c r="B825" s="4" cm="1">
        <f t="array" ref="B825">INDEX($G$359:$G$408, 867 - ROW() + 1)</f>
        <v>1</v>
      </c>
      <c r="C825" s="4" cm="1">
        <f t="array" ref="C825">INDEX($G$308:$G$357, 867 - ROW() + 1)</f>
        <v>0.76</v>
      </c>
      <c r="D825" s="4" cm="1">
        <f t="array" ref="D825">INDEX($G$257:$G$306, 867 - ROW() + 1)</f>
        <v>0.92</v>
      </c>
      <c r="E825" s="40"/>
      <c r="F825" s="4">
        <v>48</v>
      </c>
    </row>
    <row r="826" spans="1:6" x14ac:dyDescent="0.35">
      <c r="A826" s="4" cm="1">
        <f t="array" ref="A826">INDEX($G$410:$G$459, 867 - ROW() + 1)</f>
        <v>1.6</v>
      </c>
      <c r="B826" s="4" cm="1">
        <f t="array" ref="B826">INDEX($G$359:$G$408, 867 - ROW() + 1)</f>
        <v>1.22</v>
      </c>
      <c r="C826" s="4" cm="1">
        <f t="array" ref="C826">INDEX($G$308:$G$357, 867 - ROW() + 1)</f>
        <v>1.05</v>
      </c>
      <c r="D826" s="4" cm="1">
        <f t="array" ref="D826">INDEX($G$257:$G$306, 867 - ROW() + 1)</f>
        <v>0.75</v>
      </c>
      <c r="E826" s="40"/>
      <c r="F826" s="4">
        <v>49</v>
      </c>
    </row>
    <row r="827" spans="1:6" x14ac:dyDescent="0.35">
      <c r="A827" s="4" cm="1">
        <f t="array" ref="A827">INDEX($G$410:$G$459, 867 - ROW() + 1)</f>
        <v>1.6</v>
      </c>
      <c r="B827" s="4" cm="1">
        <f t="array" ref="B827">INDEX($G$359:$G$408, 867 - ROW() + 1)</f>
        <v>1.1100000000000001</v>
      </c>
      <c r="C827" s="4" cm="1">
        <f t="array" ref="C827">INDEX($G$308:$G$357, 867 - ROW() + 1)</f>
        <v>0.95</v>
      </c>
      <c r="D827" s="4" cm="1">
        <f t="array" ref="D827">INDEX($G$257:$G$306, 867 - ROW() + 1)</f>
        <v>0.92</v>
      </c>
      <c r="E827" s="40"/>
      <c r="F827" s="4">
        <v>50</v>
      </c>
    </row>
    <row r="828" spans="1:6" x14ac:dyDescent="0.35">
      <c r="A828" s="4" cm="1">
        <f t="array" ref="A828">INDEX($G$410:$G$459, 867 - ROW() + 1)</f>
        <v>1.33</v>
      </c>
      <c r="B828" s="4" cm="1">
        <f t="array" ref="B828">INDEX($G$359:$G$408, 867 - ROW() + 1)</f>
        <v>1.22</v>
      </c>
      <c r="C828" s="4" cm="1">
        <f t="array" ref="C828">INDEX($G$308:$G$357, 867 - ROW() + 1)</f>
        <v>1.05</v>
      </c>
      <c r="D828" s="4" cm="1">
        <f t="array" ref="D828">INDEX($G$257:$G$306, 867 - ROW() + 1)</f>
        <v>0.92</v>
      </c>
      <c r="E828" s="40"/>
      <c r="F828" s="4">
        <v>51</v>
      </c>
    </row>
    <row r="829" spans="1:6" x14ac:dyDescent="0.35">
      <c r="A829" s="4" cm="1">
        <f t="array" ref="A829">INDEX($G$410:$G$459, 867 - ROW() + 1)</f>
        <v>1.47</v>
      </c>
      <c r="B829" s="4" cm="1">
        <f t="array" ref="B829">INDEX($G$359:$G$408, 867 - ROW() + 1)</f>
        <v>1.22</v>
      </c>
      <c r="C829" s="4" cm="1">
        <f t="array" ref="C829">INDEX($G$308:$G$357, 867 - ROW() + 1)</f>
        <v>0.86</v>
      </c>
      <c r="D829" s="4" cm="1">
        <f t="array" ref="D829">INDEX($G$257:$G$306, 867 - ROW() + 1)</f>
        <v>0.75</v>
      </c>
      <c r="E829" s="40"/>
      <c r="F829" s="4">
        <v>52</v>
      </c>
    </row>
    <row r="830" spans="1:6" x14ac:dyDescent="0.35">
      <c r="A830" s="4" cm="1">
        <f t="array" ref="A830">INDEX($G$410:$G$459, 867 - ROW() + 1)</f>
        <v>1.6</v>
      </c>
      <c r="B830" s="4" cm="1">
        <f t="array" ref="B830">INDEX($G$359:$G$408, 867 - ROW() + 1)</f>
        <v>0.89</v>
      </c>
      <c r="C830" s="4" cm="1">
        <f t="array" ref="C830">INDEX($G$308:$G$357, 867 - ROW() + 1)</f>
        <v>1.05</v>
      </c>
      <c r="D830" s="4" cm="1">
        <f t="array" ref="D830">INDEX($G$257:$G$306, 867 - ROW() + 1)</f>
        <v>0.83</v>
      </c>
      <c r="E830" s="40"/>
      <c r="F830" s="4">
        <v>53</v>
      </c>
    </row>
    <row r="831" spans="1:6" x14ac:dyDescent="0.35">
      <c r="A831" s="4" cm="1">
        <f t="array" ref="A831">INDEX($G$410:$G$459, 867 - ROW() + 1)</f>
        <v>1.6</v>
      </c>
      <c r="B831" s="4" cm="1">
        <f t="array" ref="B831">INDEX($G$359:$G$408, 867 - ROW() + 1)</f>
        <v>1</v>
      </c>
      <c r="C831" s="4" cm="1">
        <f t="array" ref="C831">INDEX($G$308:$G$357, 867 - ROW() + 1)</f>
        <v>0.86</v>
      </c>
      <c r="D831" s="4" cm="1">
        <f t="array" ref="D831">INDEX($G$257:$G$306, 867 - ROW() + 1)</f>
        <v>0.67</v>
      </c>
      <c r="E831" s="40"/>
      <c r="F831" s="4">
        <v>54</v>
      </c>
    </row>
    <row r="832" spans="1:6" x14ac:dyDescent="0.35">
      <c r="A832" s="4" cm="1">
        <f t="array" ref="A832">INDEX($G$410:$G$459, 867 - ROW() + 1)</f>
        <v>1.47</v>
      </c>
      <c r="B832" s="4" cm="1">
        <f t="array" ref="B832">INDEX($G$359:$G$408, 867 - ROW() + 1)</f>
        <v>1.1100000000000001</v>
      </c>
      <c r="C832" s="4" cm="1">
        <f t="array" ref="C832">INDEX($G$308:$G$357, 867 - ROW() + 1)</f>
        <v>0.86</v>
      </c>
      <c r="D832" s="4" cm="1">
        <f t="array" ref="D832">INDEX($G$257:$G$306, 867 - ROW() + 1)</f>
        <v>0.75</v>
      </c>
      <c r="E832" s="40"/>
      <c r="F832" s="4">
        <v>55</v>
      </c>
    </row>
    <row r="833" spans="1:6" x14ac:dyDescent="0.35">
      <c r="A833" s="4" cm="1">
        <f t="array" ref="A833">INDEX($G$410:$G$459, 867 - ROW() + 1)</f>
        <v>1.6</v>
      </c>
      <c r="B833" s="4" cm="1">
        <f t="array" ref="B833">INDEX($G$359:$G$408, 867 - ROW() + 1)</f>
        <v>1.1100000000000001</v>
      </c>
      <c r="C833" s="4" cm="1">
        <f t="array" ref="C833">INDEX($G$308:$G$357, 867 - ROW() + 1)</f>
        <v>1.24</v>
      </c>
      <c r="D833" s="4" cm="1">
        <f t="array" ref="D833">INDEX($G$257:$G$306, 867 - ROW() + 1)</f>
        <v>0.75</v>
      </c>
      <c r="E833" s="40"/>
      <c r="F833" s="4">
        <v>56</v>
      </c>
    </row>
    <row r="834" spans="1:6" x14ac:dyDescent="0.35">
      <c r="A834" s="4" cm="1">
        <f t="array" ref="A834">INDEX($G$410:$G$459, 867 - ROW() + 1)</f>
        <v>1.6</v>
      </c>
      <c r="B834" s="4" cm="1">
        <f t="array" ref="B834">INDEX($G$359:$G$408, 867 - ROW() + 1)</f>
        <v>1</v>
      </c>
      <c r="C834" s="4" cm="1">
        <f t="array" ref="C834">INDEX($G$308:$G$357, 867 - ROW() + 1)</f>
        <v>0.95</v>
      </c>
      <c r="D834" s="4" cm="1">
        <f t="array" ref="D834">INDEX($G$257:$G$306, 867 - ROW() + 1)</f>
        <v>0.83</v>
      </c>
      <c r="E834" s="40"/>
      <c r="F834" s="4">
        <v>57</v>
      </c>
    </row>
    <row r="835" spans="1:6" x14ac:dyDescent="0.35">
      <c r="A835" s="4" cm="1">
        <f t="array" ref="A835">INDEX($G$410:$G$459, 867 - ROW() + 1)</f>
        <v>1.47</v>
      </c>
      <c r="B835" s="4" cm="1">
        <f t="array" ref="B835">INDEX($G$359:$G$408, 867 - ROW() + 1)</f>
        <v>1</v>
      </c>
      <c r="C835" s="4" cm="1">
        <f t="array" ref="C835">INDEX($G$308:$G$357, 867 - ROW() + 1)</f>
        <v>0.86</v>
      </c>
      <c r="D835" s="4" cm="1">
        <f t="array" ref="D835">INDEX($G$257:$G$306, 867 - ROW() + 1)</f>
        <v>0.83</v>
      </c>
      <c r="E835" s="40"/>
      <c r="F835" s="4">
        <v>58</v>
      </c>
    </row>
    <row r="836" spans="1:6" x14ac:dyDescent="0.35">
      <c r="A836" s="4" cm="1">
        <f t="array" ref="A836">INDEX($G$410:$G$459, 867 - ROW() + 1)</f>
        <v>1.6</v>
      </c>
      <c r="B836" s="4" cm="1">
        <f t="array" ref="B836">INDEX($G$359:$G$408, 867 - ROW() + 1)</f>
        <v>1.22</v>
      </c>
      <c r="C836" s="4" cm="1">
        <f t="array" ref="C836">INDEX($G$308:$G$357, 867 - ROW() + 1)</f>
        <v>0.86</v>
      </c>
      <c r="D836" s="4" cm="1">
        <f t="array" ref="D836">INDEX($G$257:$G$306, 867 - ROW() + 1)</f>
        <v>1.08</v>
      </c>
      <c r="E836" s="40"/>
      <c r="F836" s="4">
        <v>59</v>
      </c>
    </row>
    <row r="837" spans="1:6" x14ac:dyDescent="0.35">
      <c r="A837" s="4" cm="1">
        <f t="array" ref="A837">INDEX($G$410:$G$459, 867 - ROW() + 1)</f>
        <v>1.6</v>
      </c>
      <c r="B837" s="4" cm="1">
        <f t="array" ref="B837">INDEX($G$359:$G$408, 867 - ROW() + 1)</f>
        <v>1</v>
      </c>
      <c r="C837" s="4" cm="1">
        <f t="array" ref="C837">INDEX($G$308:$G$357, 867 - ROW() + 1)</f>
        <v>1.1399999999999999</v>
      </c>
      <c r="D837" s="4" cm="1">
        <f t="array" ref="D837">INDEX($G$257:$G$306, 867 - ROW() + 1)</f>
        <v>0.75</v>
      </c>
      <c r="E837" s="40"/>
      <c r="F837" s="4">
        <v>60</v>
      </c>
    </row>
    <row r="838" spans="1:6" x14ac:dyDescent="0.35">
      <c r="A838" s="4" cm="1">
        <f t="array" ref="A838">INDEX($G$410:$G$459, 867 - ROW() + 1)</f>
        <v>1.6</v>
      </c>
      <c r="B838" s="4" cm="1">
        <f t="array" ref="B838">INDEX($G$359:$G$408, 867 - ROW() + 1)</f>
        <v>1.22</v>
      </c>
      <c r="C838" s="4" cm="1">
        <f t="array" ref="C838">INDEX($G$308:$G$357, 867 - ROW() + 1)</f>
        <v>0.86</v>
      </c>
      <c r="D838" s="4" cm="1">
        <f t="array" ref="D838">INDEX($G$257:$G$306, 867 - ROW() + 1)</f>
        <v>0.92</v>
      </c>
      <c r="E838" s="40"/>
      <c r="F838" s="4">
        <v>61</v>
      </c>
    </row>
    <row r="839" spans="1:6" x14ac:dyDescent="0.35">
      <c r="A839" s="4" cm="1">
        <f t="array" ref="A839">INDEX($G$410:$G$459, 867 - ROW() + 1)</f>
        <v>1.47</v>
      </c>
      <c r="B839" s="4" cm="1">
        <f t="array" ref="B839">INDEX($G$359:$G$408, 867 - ROW() + 1)</f>
        <v>1</v>
      </c>
      <c r="C839" s="4" cm="1">
        <f t="array" ref="C839">INDEX($G$308:$G$357, 867 - ROW() + 1)</f>
        <v>1.05</v>
      </c>
      <c r="D839" s="4" cm="1">
        <f t="array" ref="D839">INDEX($G$257:$G$306, 867 - ROW() + 1)</f>
        <v>0.92</v>
      </c>
      <c r="E839" s="40"/>
      <c r="F839" s="4">
        <v>62</v>
      </c>
    </row>
    <row r="840" spans="1:6" x14ac:dyDescent="0.35">
      <c r="A840" s="4" cm="1">
        <f t="array" ref="A840">INDEX($G$410:$G$459, 867 - ROW() + 1)</f>
        <v>1.33</v>
      </c>
      <c r="B840" s="4" cm="1">
        <f t="array" ref="B840">INDEX($G$359:$G$408, 867 - ROW() + 1)</f>
        <v>1</v>
      </c>
      <c r="C840" s="4" cm="1">
        <f t="array" ref="C840">INDEX($G$308:$G$357, 867 - ROW() + 1)</f>
        <v>1.1399999999999999</v>
      </c>
      <c r="D840" s="4" cm="1">
        <f t="array" ref="D840">INDEX($G$257:$G$306, 867 - ROW() + 1)</f>
        <v>0.67</v>
      </c>
      <c r="E840" s="40"/>
      <c r="F840" s="4">
        <v>63</v>
      </c>
    </row>
    <row r="841" spans="1:6" x14ac:dyDescent="0.35">
      <c r="A841" s="4" cm="1">
        <f t="array" ref="A841">INDEX($G$410:$G$459, 867 - ROW() + 1)</f>
        <v>1.87</v>
      </c>
      <c r="B841" s="4" cm="1">
        <f t="array" ref="B841">INDEX($G$359:$G$408, 867 - ROW() + 1)</f>
        <v>1.22</v>
      </c>
      <c r="C841" s="4" cm="1">
        <f t="array" ref="C841">INDEX($G$308:$G$357, 867 - ROW() + 1)</f>
        <v>1.05</v>
      </c>
      <c r="D841" s="4" cm="1">
        <f t="array" ref="D841">INDEX($G$257:$G$306, 867 - ROW() + 1)</f>
        <v>0.83</v>
      </c>
      <c r="E841" s="40"/>
      <c r="F841" s="4">
        <v>64</v>
      </c>
    </row>
    <row r="842" spans="1:6" x14ac:dyDescent="0.35">
      <c r="A842" s="4" cm="1">
        <f t="array" ref="A842">INDEX($G$410:$G$459, 867 - ROW() + 1)</f>
        <v>1.47</v>
      </c>
      <c r="B842" s="4" cm="1">
        <f t="array" ref="B842">INDEX($G$359:$G$408, 867 - ROW() + 1)</f>
        <v>1.1100000000000001</v>
      </c>
      <c r="C842" s="4" cm="1">
        <f t="array" ref="C842">INDEX($G$308:$G$357, 867 - ROW() + 1)</f>
        <v>0.86</v>
      </c>
      <c r="D842" s="4" cm="1">
        <f t="array" ref="D842">INDEX($G$257:$G$306, 867 - ROW() + 1)</f>
        <v>0.75</v>
      </c>
      <c r="E842" s="40"/>
      <c r="F842" s="4">
        <v>65</v>
      </c>
    </row>
    <row r="843" spans="1:6" x14ac:dyDescent="0.35">
      <c r="A843" s="4" cm="1">
        <f t="array" ref="A843">INDEX($G$410:$G$459, 867 - ROW() + 1)</f>
        <v>1.47</v>
      </c>
      <c r="B843" s="4" cm="1">
        <f t="array" ref="B843">INDEX($G$359:$G$408, 867 - ROW() + 1)</f>
        <v>1.22</v>
      </c>
      <c r="C843" s="4" cm="1">
        <f t="array" ref="C843">INDEX($G$308:$G$357, 867 - ROW() + 1)</f>
        <v>1.05</v>
      </c>
      <c r="D843" s="4" cm="1">
        <f t="array" ref="D843">INDEX($G$257:$G$306, 867 - ROW() + 1)</f>
        <v>0.83</v>
      </c>
      <c r="E843" s="40"/>
      <c r="F843" s="4">
        <v>66</v>
      </c>
    </row>
    <row r="844" spans="1:6" x14ac:dyDescent="0.35">
      <c r="A844" s="4" cm="1">
        <f t="array" ref="A844">INDEX($G$410:$G$459, 867 - ROW() + 1)</f>
        <v>1.2</v>
      </c>
      <c r="B844" s="4" cm="1">
        <f t="array" ref="B844">INDEX($G$359:$G$408, 867 - ROW() + 1)</f>
        <v>1</v>
      </c>
      <c r="C844" s="4" cm="1">
        <f t="array" ref="C844">INDEX($G$308:$G$357, 867 - ROW() + 1)</f>
        <v>0.86</v>
      </c>
      <c r="D844" s="4" cm="1">
        <f t="array" ref="D844">INDEX($G$257:$G$306, 867 - ROW() + 1)</f>
        <v>0.75</v>
      </c>
      <c r="E844" s="40"/>
      <c r="F844" s="4">
        <v>67</v>
      </c>
    </row>
    <row r="845" spans="1:6" x14ac:dyDescent="0.35">
      <c r="A845" s="4" cm="1">
        <f t="array" ref="A845">INDEX($G$410:$G$459, 867 - ROW() + 1)</f>
        <v>1.47</v>
      </c>
      <c r="B845" s="4" cm="1">
        <f t="array" ref="B845">INDEX($G$359:$G$408, 867 - ROW() + 1)</f>
        <v>1.1100000000000001</v>
      </c>
      <c r="C845" s="4" cm="1">
        <f t="array" ref="C845">INDEX($G$308:$G$357, 867 - ROW() + 1)</f>
        <v>0.76</v>
      </c>
      <c r="D845" s="4" cm="1">
        <f t="array" ref="D845">INDEX($G$257:$G$306, 867 - ROW() + 1)</f>
        <v>0.75</v>
      </c>
      <c r="E845" s="40"/>
      <c r="F845" s="4">
        <v>68</v>
      </c>
    </row>
    <row r="846" spans="1:6" x14ac:dyDescent="0.35">
      <c r="A846" s="4" cm="1">
        <f t="array" ref="A846">INDEX($G$410:$G$459, 867 - ROW() + 1)</f>
        <v>1.6</v>
      </c>
      <c r="B846" s="4" cm="1">
        <f t="array" ref="B846">INDEX($G$359:$G$408, 867 - ROW() + 1)</f>
        <v>1.1100000000000001</v>
      </c>
      <c r="C846" s="4" cm="1">
        <f t="array" ref="C846">INDEX($G$308:$G$357, 867 - ROW() + 1)</f>
        <v>0.86</v>
      </c>
      <c r="D846" s="4" cm="1">
        <f t="array" ref="D846">INDEX($G$257:$G$306, 867 - ROW() + 1)</f>
        <v>0.75</v>
      </c>
      <c r="E846" s="40"/>
      <c r="F846" s="4">
        <v>69</v>
      </c>
    </row>
    <row r="847" spans="1:6" x14ac:dyDescent="0.35">
      <c r="A847" s="4" cm="1">
        <f t="array" ref="A847">INDEX($G$410:$G$459, 867 - ROW() + 1)</f>
        <v>1.47</v>
      </c>
      <c r="B847" s="4" cm="1">
        <f t="array" ref="B847">INDEX($G$359:$G$408, 867 - ROW() + 1)</f>
        <v>1.1100000000000001</v>
      </c>
      <c r="C847" s="4" cm="1">
        <f t="array" ref="C847">INDEX($G$308:$G$357, 867 - ROW() + 1)</f>
        <v>1.05</v>
      </c>
      <c r="D847" s="4" cm="1">
        <f t="array" ref="D847">INDEX($G$257:$G$306, 867 - ROW() + 1)</f>
        <v>0.67</v>
      </c>
      <c r="E847" s="40"/>
      <c r="F847" s="4">
        <v>70</v>
      </c>
    </row>
    <row r="848" spans="1:6" x14ac:dyDescent="0.35">
      <c r="A848" s="4" cm="1">
        <f t="array" ref="A848">INDEX($G$410:$G$459, 867 - ROW() + 1)</f>
        <v>1.47</v>
      </c>
      <c r="B848" s="4" cm="1">
        <f t="array" ref="B848">INDEX($G$359:$G$408, 867 - ROW() + 1)</f>
        <v>1</v>
      </c>
      <c r="C848" s="4" cm="1">
        <f t="array" ref="C848">INDEX($G$308:$G$357, 867 - ROW() + 1)</f>
        <v>0.76</v>
      </c>
      <c r="D848" s="4" cm="1">
        <f t="array" ref="D848">INDEX($G$257:$G$306, 867 - ROW() + 1)</f>
        <v>0.67</v>
      </c>
      <c r="E848" s="40"/>
      <c r="F848" s="4">
        <v>71</v>
      </c>
    </row>
    <row r="849" spans="1:6" x14ac:dyDescent="0.35">
      <c r="A849" s="4" cm="1">
        <f t="array" ref="A849">INDEX($G$410:$G$459, 867 - ROW() + 1)</f>
        <v>1.47</v>
      </c>
      <c r="B849" s="4" cm="1">
        <f t="array" ref="B849">INDEX($G$359:$G$408, 867 - ROW() + 1)</f>
        <v>1.1100000000000001</v>
      </c>
      <c r="C849" s="4" cm="1">
        <f t="array" ref="C849">INDEX($G$308:$G$357, 867 - ROW() + 1)</f>
        <v>1.1399999999999999</v>
      </c>
      <c r="D849" s="4" cm="1">
        <f t="array" ref="D849">INDEX($G$257:$G$306, 867 - ROW() + 1)</f>
        <v>0.83</v>
      </c>
      <c r="E849" s="40"/>
      <c r="F849" s="4">
        <v>72</v>
      </c>
    </row>
    <row r="850" spans="1:6" x14ac:dyDescent="0.35">
      <c r="A850" s="4" cm="1">
        <f t="array" ref="A850">INDEX($G$410:$G$459, 867 - ROW() + 1)</f>
        <v>1.47</v>
      </c>
      <c r="B850" s="4" cm="1">
        <f t="array" ref="B850">INDEX($G$359:$G$408, 867 - ROW() + 1)</f>
        <v>1.1100000000000001</v>
      </c>
      <c r="C850" s="4" cm="1">
        <f t="array" ref="C850">INDEX($G$308:$G$357, 867 - ROW() + 1)</f>
        <v>0.76</v>
      </c>
      <c r="D850" s="4" cm="1">
        <f t="array" ref="D850">INDEX($G$257:$G$306, 867 - ROW() + 1)</f>
        <v>0.75</v>
      </c>
      <c r="E850" s="40"/>
      <c r="F850" s="4">
        <v>73</v>
      </c>
    </row>
    <row r="851" spans="1:6" x14ac:dyDescent="0.35">
      <c r="A851" s="4" cm="1">
        <f t="array" ref="A851">INDEX($G$410:$G$459, 867 - ROW() + 1)</f>
        <v>1.6</v>
      </c>
      <c r="B851" s="4" cm="1">
        <f t="array" ref="B851">INDEX($G$359:$G$408, 867 - ROW() + 1)</f>
        <v>1.22</v>
      </c>
      <c r="C851" s="4" cm="1">
        <f t="array" ref="C851">INDEX($G$308:$G$357, 867 - ROW() + 1)</f>
        <v>1.1399999999999999</v>
      </c>
      <c r="D851" s="4" cm="1">
        <f t="array" ref="D851">INDEX($G$257:$G$306, 867 - ROW() + 1)</f>
        <v>0.67</v>
      </c>
      <c r="E851" s="40"/>
      <c r="F851" s="4">
        <v>74</v>
      </c>
    </row>
    <row r="852" spans="1:6" x14ac:dyDescent="0.35">
      <c r="A852" s="4" cm="1">
        <f t="array" ref="A852">INDEX($G$410:$G$459, 867 - ROW() + 1)</f>
        <v>1.47</v>
      </c>
      <c r="B852" s="4" cm="1">
        <f t="array" ref="B852">INDEX($G$359:$G$408, 867 - ROW() + 1)</f>
        <v>1</v>
      </c>
      <c r="C852" s="4" cm="1">
        <f t="array" ref="C852">INDEX($G$308:$G$357, 867 - ROW() + 1)</f>
        <v>0.86</v>
      </c>
      <c r="D852" s="4" cm="1">
        <f t="array" ref="D852">INDEX($G$257:$G$306, 867 - ROW() + 1)</f>
        <v>0.75</v>
      </c>
      <c r="E852" s="40"/>
      <c r="F852" s="4">
        <v>75</v>
      </c>
    </row>
    <row r="853" spans="1:6" x14ac:dyDescent="0.35">
      <c r="A853" s="4" cm="1">
        <f t="array" ref="A853">INDEX($G$410:$G$459, 867 - ROW() + 1)</f>
        <v>1.47</v>
      </c>
      <c r="B853" s="4" cm="1">
        <f t="array" ref="B853">INDEX($G$359:$G$408, 867 - ROW() + 1)</f>
        <v>1.1100000000000001</v>
      </c>
      <c r="C853" s="4" cm="1">
        <f t="array" ref="C853">INDEX($G$308:$G$357, 867 - ROW() + 1)</f>
        <v>1.1399999999999999</v>
      </c>
      <c r="D853" s="4" cm="1">
        <f t="array" ref="D853">INDEX($G$257:$G$306, 867 - ROW() + 1)</f>
        <v>0.67</v>
      </c>
      <c r="E853" s="40"/>
      <c r="F853" s="4">
        <v>76</v>
      </c>
    </row>
    <row r="854" spans="1:6" x14ac:dyDescent="0.35">
      <c r="A854" s="4" cm="1">
        <f t="array" ref="A854">INDEX($G$410:$G$459, 867 - ROW() + 1)</f>
        <v>1.47</v>
      </c>
      <c r="B854" s="4" cm="1">
        <f t="array" ref="B854">INDEX($G$359:$G$408, 867 - ROW() + 1)</f>
        <v>1.22</v>
      </c>
      <c r="C854" s="4" cm="1">
        <f t="array" ref="C854">INDEX($G$308:$G$357, 867 - ROW() + 1)</f>
        <v>0.95</v>
      </c>
      <c r="D854" s="4" cm="1">
        <f t="array" ref="D854">INDEX($G$257:$G$306, 867 - ROW() + 1)</f>
        <v>0.67</v>
      </c>
      <c r="E854" s="40"/>
      <c r="F854" s="4">
        <v>77</v>
      </c>
    </row>
    <row r="855" spans="1:6" x14ac:dyDescent="0.35">
      <c r="A855" s="4" cm="1">
        <f t="array" ref="A855">INDEX($G$410:$G$459, 867 - ROW() + 1)</f>
        <v>1.47</v>
      </c>
      <c r="B855" s="4" cm="1">
        <f t="array" ref="B855">INDEX($G$359:$G$408, 867 - ROW() + 1)</f>
        <v>1.1100000000000001</v>
      </c>
      <c r="C855" s="4" cm="1">
        <f t="array" ref="C855">INDEX($G$308:$G$357, 867 - ROW() + 1)</f>
        <v>0.86</v>
      </c>
      <c r="D855" s="4" cm="1">
        <f t="array" ref="D855">INDEX($G$257:$G$306, 867 - ROW() + 1)</f>
        <v>0.75</v>
      </c>
      <c r="E855" s="40"/>
      <c r="F855" s="4">
        <v>78</v>
      </c>
    </row>
    <row r="856" spans="1:6" x14ac:dyDescent="0.35">
      <c r="A856" s="4" cm="1">
        <f t="array" ref="A856">INDEX($G$410:$G$459, 867 - ROW() + 1)</f>
        <v>1.73</v>
      </c>
      <c r="B856" s="4" cm="1">
        <f t="array" ref="B856">INDEX($G$359:$G$408, 867 - ROW() + 1)</f>
        <v>1.1100000000000001</v>
      </c>
      <c r="C856" s="4" cm="1">
        <f t="array" ref="C856">INDEX($G$308:$G$357, 867 - ROW() + 1)</f>
        <v>0.86</v>
      </c>
      <c r="D856" s="4" cm="1">
        <f t="array" ref="D856">INDEX($G$257:$G$306, 867 - ROW() + 1)</f>
        <v>0.92</v>
      </c>
      <c r="E856" s="40"/>
      <c r="F856" s="4">
        <v>79</v>
      </c>
    </row>
    <row r="857" spans="1:6" x14ac:dyDescent="0.35">
      <c r="A857" s="4" cm="1">
        <f t="array" ref="A857">INDEX($G$410:$G$459, 867 - ROW() + 1)</f>
        <v>1.6</v>
      </c>
      <c r="B857" s="4" cm="1">
        <f t="array" ref="B857">INDEX($G$359:$G$408, 867 - ROW() + 1)</f>
        <v>1.1100000000000001</v>
      </c>
      <c r="C857" s="4" cm="1">
        <f t="array" ref="C857">INDEX($G$308:$G$357, 867 - ROW() + 1)</f>
        <v>0.95</v>
      </c>
      <c r="D857" s="4" cm="1">
        <f t="array" ref="D857">INDEX($G$257:$G$306, 867 - ROW() + 1)</f>
        <v>0.5</v>
      </c>
      <c r="E857" s="40"/>
      <c r="F857" s="4">
        <v>80</v>
      </c>
    </row>
    <row r="858" spans="1:6" x14ac:dyDescent="0.35">
      <c r="A858" s="4" cm="1">
        <f t="array" ref="A858">INDEX($G$410:$G$459, 867 - ROW() + 1)</f>
        <v>1.2</v>
      </c>
      <c r="B858" s="4" cm="1">
        <f t="array" ref="B858">INDEX($G$359:$G$408, 867 - ROW() + 1)</f>
        <v>0.89</v>
      </c>
      <c r="C858" s="4" cm="1">
        <f t="array" ref="C858">INDEX($G$308:$G$357, 867 - ROW() + 1)</f>
        <v>1.1399999999999999</v>
      </c>
      <c r="D858" s="4" cm="1">
        <f t="array" ref="D858">INDEX($G$257:$G$306, 867 - ROW() + 1)</f>
        <v>0.75</v>
      </c>
      <c r="E858" s="40"/>
      <c r="F858" s="4">
        <v>81</v>
      </c>
    </row>
    <row r="859" spans="1:6" x14ac:dyDescent="0.35">
      <c r="A859" s="4" cm="1">
        <f t="array" ref="A859">INDEX($G$410:$G$459, 867 - ROW() + 1)</f>
        <v>1.47</v>
      </c>
      <c r="B859" s="4" cm="1">
        <f t="array" ref="B859">INDEX($G$359:$G$408, 867 - ROW() + 1)</f>
        <v>1.33</v>
      </c>
      <c r="C859" s="4" cm="1">
        <f t="array" ref="C859">INDEX($G$308:$G$357, 867 - ROW() + 1)</f>
        <v>0.76</v>
      </c>
      <c r="D859" s="4" cm="1">
        <f t="array" ref="D859">INDEX($G$257:$G$306, 867 - ROW() + 1)</f>
        <v>0.67</v>
      </c>
      <c r="E859" s="40"/>
      <c r="F859" s="4">
        <v>82</v>
      </c>
    </row>
    <row r="860" spans="1:6" x14ac:dyDescent="0.35">
      <c r="A860" s="4" cm="1">
        <f t="array" ref="A860">INDEX($G$410:$G$459, 867 - ROW() + 1)</f>
        <v>1.33</v>
      </c>
      <c r="B860" s="4" cm="1">
        <f t="array" ref="B860">INDEX($G$359:$G$408, 867 - ROW() + 1)</f>
        <v>1.1100000000000001</v>
      </c>
      <c r="C860" s="4" cm="1">
        <f t="array" ref="C860">INDEX($G$308:$G$357, 867 - ROW() + 1)</f>
        <v>1.05</v>
      </c>
      <c r="D860" s="4" cm="1">
        <f t="array" ref="D860">INDEX($G$257:$G$306, 867 - ROW() + 1)</f>
        <v>0.92</v>
      </c>
      <c r="E860" s="40"/>
      <c r="F860" s="4">
        <v>83</v>
      </c>
    </row>
    <row r="861" spans="1:6" x14ac:dyDescent="0.35">
      <c r="A861" s="4" cm="1">
        <f t="array" ref="A861">INDEX($G$410:$G$459, 867 - ROW() + 1)</f>
        <v>1.33</v>
      </c>
      <c r="B861" s="4" cm="1">
        <f t="array" ref="B861">INDEX($G$359:$G$408, 867 - ROW() + 1)</f>
        <v>1.22</v>
      </c>
      <c r="C861" s="4" cm="1">
        <f t="array" ref="C861">INDEX($G$308:$G$357, 867 - ROW() + 1)</f>
        <v>1.05</v>
      </c>
      <c r="D861" s="4" cm="1">
        <f t="array" ref="D861">INDEX($G$257:$G$306, 867 - ROW() + 1)</f>
        <v>0.57999999999999996</v>
      </c>
      <c r="E861" s="40"/>
      <c r="F861" s="4">
        <v>84</v>
      </c>
    </row>
    <row r="862" spans="1:6" x14ac:dyDescent="0.35">
      <c r="A862" s="4" cm="1">
        <f t="array" ref="A862">INDEX($G$410:$G$459, 867 - ROW() + 1)</f>
        <v>1.47</v>
      </c>
      <c r="B862" s="4" cm="1">
        <f t="array" ref="B862">INDEX($G$359:$G$408, 867 - ROW() + 1)</f>
        <v>1.1100000000000001</v>
      </c>
      <c r="C862" s="4" cm="1">
        <f t="array" ref="C862">INDEX($G$308:$G$357, 867 - ROW() + 1)</f>
        <v>1.05</v>
      </c>
      <c r="D862" s="4" cm="1">
        <f t="array" ref="D862">INDEX($G$257:$G$306, 867 - ROW() + 1)</f>
        <v>0.75</v>
      </c>
      <c r="E862" s="40"/>
      <c r="F862" s="4">
        <v>85</v>
      </c>
    </row>
    <row r="863" spans="1:6" x14ac:dyDescent="0.35">
      <c r="A863" s="4" cm="1">
        <f t="array" ref="A863">INDEX($G$410:$G$459, 867 - ROW() + 1)</f>
        <v>1.6</v>
      </c>
      <c r="B863" s="4" cm="1">
        <f t="array" ref="B863">INDEX($G$359:$G$408, 867 - ROW() + 1)</f>
        <v>1.1100000000000001</v>
      </c>
      <c r="C863" s="4" cm="1">
        <f t="array" ref="C863">INDEX($G$308:$G$357, 867 - ROW() + 1)</f>
        <v>0.86</v>
      </c>
      <c r="D863" s="4" cm="1">
        <f t="array" ref="D863">INDEX($G$257:$G$306, 867 - ROW() + 1)</f>
        <v>0.83</v>
      </c>
      <c r="E863" s="40"/>
      <c r="F863" s="4">
        <v>86</v>
      </c>
    </row>
    <row r="864" spans="1:6" x14ac:dyDescent="0.35">
      <c r="A864" s="4" cm="1">
        <f t="array" ref="A864">INDEX($G$410:$G$459, 867 - ROW() + 1)</f>
        <v>1.2</v>
      </c>
      <c r="B864" s="4" cm="1">
        <f t="array" ref="B864">INDEX($G$359:$G$408, 867 - ROW() + 1)</f>
        <v>1</v>
      </c>
      <c r="C864" s="4" cm="1">
        <f t="array" ref="C864">INDEX($G$308:$G$357, 867 - ROW() + 1)</f>
        <v>0.76</v>
      </c>
      <c r="D864" s="4" cm="1">
        <f t="array" ref="D864">INDEX($G$257:$G$306, 867 - ROW() + 1)</f>
        <v>0.67</v>
      </c>
      <c r="E864" s="40"/>
      <c r="F864" s="4">
        <v>87</v>
      </c>
    </row>
    <row r="865" spans="1:6" x14ac:dyDescent="0.35">
      <c r="A865" s="4" cm="1">
        <f t="array" ref="A865">INDEX($G$410:$G$459, 867 - ROW() + 1)</f>
        <v>1.33</v>
      </c>
      <c r="B865" s="4" cm="1">
        <f t="array" ref="B865">INDEX($G$359:$G$408, 867 - ROW() + 1)</f>
        <v>1.22</v>
      </c>
      <c r="C865" s="4" cm="1">
        <f t="array" ref="C865">INDEX($G$308:$G$357, 867 - ROW() + 1)</f>
        <v>0.76</v>
      </c>
      <c r="D865" s="4" cm="1">
        <f t="array" ref="D865">INDEX($G$257:$G$306, 867 - ROW() + 1)</f>
        <v>0.83</v>
      </c>
      <c r="E865" s="40"/>
      <c r="F865" s="4">
        <v>88</v>
      </c>
    </row>
    <row r="866" spans="1:6" x14ac:dyDescent="0.35">
      <c r="A866" s="4" cm="1">
        <f t="array" ref="A866">INDEX($G$410:$G$459, 867 - ROW() + 1)</f>
        <v>1.47</v>
      </c>
      <c r="B866" s="4" cm="1">
        <f t="array" ref="B866">INDEX($G$359:$G$408, 867 - ROW() + 1)</f>
        <v>1.33</v>
      </c>
      <c r="C866" s="4" cm="1">
        <f t="array" ref="C866">INDEX($G$308:$G$357, 867 - ROW() + 1)</f>
        <v>0.95</v>
      </c>
      <c r="D866" s="4" cm="1">
        <f t="array" ref="D866">INDEX($G$257:$G$306, 867 - ROW() + 1)</f>
        <v>0.83</v>
      </c>
      <c r="E866" s="40"/>
      <c r="F866" s="4">
        <v>89</v>
      </c>
    </row>
    <row r="867" spans="1:6" x14ac:dyDescent="0.35">
      <c r="A867" s="4" cm="1">
        <f t="array" ref="A867">INDEX($G$410:$G$459, 867 - ROW() + 1)</f>
        <v>1.47</v>
      </c>
      <c r="B867" s="4" cm="1">
        <f t="array" ref="B867">INDEX($G$359:$G$408, 867 - ROW() + 1)</f>
        <v>1.22</v>
      </c>
      <c r="C867" s="4" cm="1">
        <f t="array" ref="C867">INDEX($G$308:$G$357, 867 - ROW() + 1)</f>
        <v>1.05</v>
      </c>
      <c r="D867" s="4" cm="1">
        <f t="array" ref="D867">INDEX($G$257:$G$306, 867 - ROW() + 1)</f>
        <v>0.67</v>
      </c>
      <c r="E867" s="40"/>
      <c r="F867" s="4">
        <v>90</v>
      </c>
    </row>
    <row r="868" spans="1:6" x14ac:dyDescent="0.35">
      <c r="A868" s="4" cm="1">
        <f t="array" ref="A868">INDEX($G$155:$G$204, 917 - ROW() + 1)</f>
        <v>1.87</v>
      </c>
      <c r="B868" s="4" cm="1">
        <f t="array" ref="B868">INDEX($G$104:$G$153, 917 - ROW() + 1)</f>
        <v>1.67</v>
      </c>
      <c r="C868" s="4" cm="1">
        <f t="array" ref="C868">INDEX($G$53:$G$102, 917 - ROW() + 1)</f>
        <v>0.86</v>
      </c>
      <c r="D868" s="4" cm="1">
        <f t="array" ref="D868">INDEX($G$2:$G$51, 917 - ROW() + 1)</f>
        <v>1</v>
      </c>
      <c r="E868" s="40"/>
      <c r="F868" s="4">
        <v>91</v>
      </c>
    </row>
    <row r="869" spans="1:6" x14ac:dyDescent="0.35">
      <c r="A869" s="4" cm="1">
        <f t="array" ref="A869">INDEX($G$155:$G$204, 917 - ROW() + 1)</f>
        <v>1.73</v>
      </c>
      <c r="B869" s="4" cm="1">
        <f t="array" ref="B869">INDEX($G$104:$G$153, 917 - ROW() + 1)</f>
        <v>1.33</v>
      </c>
      <c r="C869" s="4" cm="1">
        <f t="array" ref="C869">INDEX($G$53:$G$102, 917 - ROW() + 1)</f>
        <v>0.86</v>
      </c>
      <c r="D869" s="4" cm="1">
        <f t="array" ref="D869">INDEX($G$2:$G$51, 917 - ROW() + 1)</f>
        <v>0.67</v>
      </c>
      <c r="E869" s="40"/>
      <c r="F869" s="4">
        <v>92</v>
      </c>
    </row>
    <row r="870" spans="1:6" x14ac:dyDescent="0.35">
      <c r="A870" s="4" cm="1">
        <f t="array" ref="A870">INDEX($G$155:$G$204, 917 - ROW() + 1)</f>
        <v>1.73</v>
      </c>
      <c r="B870" s="4" cm="1">
        <f t="array" ref="B870">INDEX($G$104:$G$153, 917 - ROW() + 1)</f>
        <v>1.22</v>
      </c>
      <c r="C870" s="4" cm="1">
        <f t="array" ref="C870">INDEX($G$53:$G$102, 917 - ROW() + 1)</f>
        <v>1.05</v>
      </c>
      <c r="D870" s="4" cm="1">
        <f t="array" ref="D870">INDEX($G$2:$G$51, 917 - ROW() + 1)</f>
        <v>0.75</v>
      </c>
      <c r="E870" s="40"/>
      <c r="F870" s="4">
        <v>93</v>
      </c>
    </row>
    <row r="871" spans="1:6" x14ac:dyDescent="0.35">
      <c r="A871" s="4" cm="1">
        <f t="array" ref="A871">INDEX($G$155:$G$204, 917 - ROW() + 1)</f>
        <v>1.6</v>
      </c>
      <c r="B871" s="4" cm="1">
        <f t="array" ref="B871">INDEX($G$104:$G$153, 917 - ROW() + 1)</f>
        <v>1.22</v>
      </c>
      <c r="C871" s="4" cm="1">
        <f t="array" ref="C871">INDEX($G$53:$G$102, 917 - ROW() + 1)</f>
        <v>1.1399999999999999</v>
      </c>
      <c r="D871" s="4" cm="1">
        <f t="array" ref="D871">INDEX($G$2:$G$51, 917 - ROW() + 1)</f>
        <v>0.83</v>
      </c>
      <c r="E871" s="40"/>
      <c r="F871" s="4">
        <v>94</v>
      </c>
    </row>
    <row r="872" spans="1:6" x14ac:dyDescent="0.35">
      <c r="A872" s="4" cm="1">
        <f t="array" ref="A872">INDEX($G$155:$G$204, 917 - ROW() + 1)</f>
        <v>2</v>
      </c>
      <c r="B872" s="4" cm="1">
        <f t="array" ref="B872">INDEX($G$104:$G$153, 917 - ROW() + 1)</f>
        <v>1.56</v>
      </c>
      <c r="C872" s="4" cm="1">
        <f t="array" ref="C872">INDEX($G$53:$G$102, 917 - ROW() + 1)</f>
        <v>1.05</v>
      </c>
      <c r="D872" s="4" cm="1">
        <f t="array" ref="D872">INDEX($G$2:$G$51, 917 - ROW() + 1)</f>
        <v>0.92</v>
      </c>
      <c r="E872" s="40"/>
      <c r="F872" s="4">
        <v>95</v>
      </c>
    </row>
    <row r="873" spans="1:6" x14ac:dyDescent="0.35">
      <c r="A873" s="4" cm="1">
        <f t="array" ref="A873">INDEX($G$155:$G$204, 917 - ROW() + 1)</f>
        <v>1.87</v>
      </c>
      <c r="B873" s="4" cm="1">
        <f t="array" ref="B873">INDEX($G$104:$G$153, 917 - ROW() + 1)</f>
        <v>1.22</v>
      </c>
      <c r="C873" s="4" cm="1">
        <f t="array" ref="C873">INDEX($G$53:$G$102, 917 - ROW() + 1)</f>
        <v>1.05</v>
      </c>
      <c r="D873" s="4" cm="1">
        <f t="array" ref="D873">INDEX($G$2:$G$51, 917 - ROW() + 1)</f>
        <v>0.75</v>
      </c>
      <c r="E873" s="40"/>
      <c r="F873" s="4">
        <v>96</v>
      </c>
    </row>
    <row r="874" spans="1:6" x14ac:dyDescent="0.35">
      <c r="A874" s="4" cm="1">
        <f t="array" ref="A874">INDEX($G$155:$G$204, 917 - ROW() + 1)</f>
        <v>2</v>
      </c>
      <c r="B874" s="4" cm="1">
        <f t="array" ref="B874">INDEX($G$104:$G$153, 917 - ROW() + 1)</f>
        <v>1.33</v>
      </c>
      <c r="C874" s="4" cm="1">
        <f t="array" ref="C874">INDEX($G$53:$G$102, 917 - ROW() + 1)</f>
        <v>0.86</v>
      </c>
      <c r="D874" s="4" cm="1">
        <f t="array" ref="D874">INDEX($G$2:$G$51, 917 - ROW() + 1)</f>
        <v>0.83</v>
      </c>
      <c r="E874" s="40"/>
      <c r="F874" s="4">
        <v>97</v>
      </c>
    </row>
    <row r="875" spans="1:6" x14ac:dyDescent="0.35">
      <c r="A875" s="4" cm="1">
        <f t="array" ref="A875">INDEX($G$155:$G$204, 917 - ROW() + 1)</f>
        <v>1.73</v>
      </c>
      <c r="B875" s="4" cm="1">
        <f t="array" ref="B875">INDEX($G$104:$G$153, 917 - ROW() + 1)</f>
        <v>1.44</v>
      </c>
      <c r="C875" s="4" cm="1">
        <f t="array" ref="C875">INDEX($G$53:$G$102, 917 - ROW() + 1)</f>
        <v>1.1399999999999999</v>
      </c>
      <c r="D875" s="4" cm="1">
        <f t="array" ref="D875">INDEX($G$2:$G$51, 917 - ROW() + 1)</f>
        <v>0.83</v>
      </c>
      <c r="E875" s="40"/>
      <c r="F875" s="4">
        <v>98</v>
      </c>
    </row>
    <row r="876" spans="1:6" x14ac:dyDescent="0.35">
      <c r="A876" s="4" cm="1">
        <f t="array" ref="A876">INDEX($G$155:$G$204, 917 - ROW() + 1)</f>
        <v>1.87</v>
      </c>
      <c r="B876" s="4" cm="1">
        <f t="array" ref="B876">INDEX($G$104:$G$153, 917 - ROW() + 1)</f>
        <v>1.44</v>
      </c>
      <c r="C876" s="4" cm="1">
        <f t="array" ref="C876">INDEX($G$53:$G$102, 917 - ROW() + 1)</f>
        <v>0.95</v>
      </c>
      <c r="D876" s="4" cm="1">
        <f t="array" ref="D876">INDEX($G$2:$G$51, 917 - ROW() + 1)</f>
        <v>0.92</v>
      </c>
      <c r="E876" s="40"/>
      <c r="F876" s="4">
        <v>99</v>
      </c>
    </row>
    <row r="877" spans="1:6" x14ac:dyDescent="0.35">
      <c r="A877" s="4" cm="1">
        <f t="array" ref="A877">INDEX($G$155:$G$204, 917 - ROW() + 1)</f>
        <v>2</v>
      </c>
      <c r="B877" s="4" cm="1">
        <f t="array" ref="B877">INDEX($G$104:$G$153, 917 - ROW() + 1)</f>
        <v>1.22</v>
      </c>
      <c r="C877" s="4" cm="1">
        <f t="array" ref="C877">INDEX($G$53:$G$102, 917 - ROW() + 1)</f>
        <v>0.95</v>
      </c>
      <c r="D877" s="4" cm="1">
        <f t="array" ref="D877">INDEX($G$2:$G$51, 917 - ROW() + 1)</f>
        <v>0.92</v>
      </c>
      <c r="E877" s="40"/>
      <c r="F877" s="4">
        <v>100</v>
      </c>
    </row>
    <row r="878" spans="1:6" x14ac:dyDescent="0.35">
      <c r="A878" s="4" cm="1">
        <f t="array" ref="A878">INDEX($G$155:$G$204, 917 - ROW() + 1)</f>
        <v>1.73</v>
      </c>
      <c r="B878" s="4" cm="1">
        <f t="array" ref="B878">INDEX($G$104:$G$153, 917 - ROW() + 1)</f>
        <v>1.22</v>
      </c>
      <c r="C878" s="4" cm="1">
        <f t="array" ref="C878">INDEX($G$53:$G$102, 917 - ROW() + 1)</f>
        <v>0.76</v>
      </c>
      <c r="D878" s="4" cm="1">
        <f t="array" ref="D878">INDEX($G$2:$G$51, 917 - ROW() + 1)</f>
        <v>0.92</v>
      </c>
      <c r="E878" s="40"/>
      <c r="F878" s="4">
        <v>101</v>
      </c>
    </row>
    <row r="879" spans="1:6" x14ac:dyDescent="0.35">
      <c r="A879" s="4" cm="1">
        <f t="array" ref="A879">INDEX($G$155:$G$204, 917 - ROW() + 1)</f>
        <v>2</v>
      </c>
      <c r="B879" s="4" cm="1">
        <f t="array" ref="B879">INDEX($G$104:$G$153, 917 - ROW() + 1)</f>
        <v>1.33</v>
      </c>
      <c r="C879" s="4" cm="1">
        <f t="array" ref="C879">INDEX($G$53:$G$102, 917 - ROW() + 1)</f>
        <v>0.95</v>
      </c>
      <c r="D879" s="4" cm="1">
        <f t="array" ref="D879">INDEX($G$2:$G$51, 917 - ROW() + 1)</f>
        <v>0.92</v>
      </c>
      <c r="E879" s="40"/>
      <c r="F879" s="4">
        <v>102</v>
      </c>
    </row>
    <row r="880" spans="1:6" x14ac:dyDescent="0.35">
      <c r="A880" s="4" cm="1">
        <f t="array" ref="A880">INDEX($G$155:$G$204, 917 - ROW() + 1)</f>
        <v>1.6</v>
      </c>
      <c r="B880" s="4" cm="1">
        <f t="array" ref="B880">INDEX($G$104:$G$153, 917 - ROW() + 1)</f>
        <v>1.56</v>
      </c>
      <c r="C880" s="4" cm="1">
        <f t="array" ref="C880">INDEX($G$53:$G$102, 917 - ROW() + 1)</f>
        <v>0.86</v>
      </c>
      <c r="D880" s="4" cm="1">
        <f t="array" ref="D880">INDEX($G$2:$G$51, 917 - ROW() + 1)</f>
        <v>0.75</v>
      </c>
      <c r="E880" s="40"/>
      <c r="F880" s="4">
        <v>103</v>
      </c>
    </row>
    <row r="881" spans="1:6" x14ac:dyDescent="0.35">
      <c r="A881" s="4" cm="1">
        <f t="array" ref="A881">INDEX($G$155:$G$204, 917 - ROW() + 1)</f>
        <v>1.73</v>
      </c>
      <c r="B881" s="4" cm="1">
        <f t="array" ref="B881">INDEX($G$104:$G$153, 917 - ROW() + 1)</f>
        <v>1.44</v>
      </c>
      <c r="C881" s="4" cm="1">
        <f t="array" ref="C881">INDEX($G$53:$G$102, 917 - ROW() + 1)</f>
        <v>0.86</v>
      </c>
      <c r="D881" s="4" cm="1">
        <f t="array" ref="D881">INDEX($G$2:$G$51, 917 - ROW() + 1)</f>
        <v>0.92</v>
      </c>
      <c r="E881" s="40"/>
      <c r="F881" s="4">
        <v>104</v>
      </c>
    </row>
    <row r="882" spans="1:6" x14ac:dyDescent="0.35">
      <c r="A882" s="4" cm="1">
        <f t="array" ref="A882">INDEX($G$155:$G$204, 917 - ROW() + 1)</f>
        <v>1.6</v>
      </c>
      <c r="B882" s="4" cm="1">
        <f t="array" ref="B882">INDEX($G$104:$G$153, 917 - ROW() + 1)</f>
        <v>1.56</v>
      </c>
      <c r="C882" s="4" cm="1">
        <f t="array" ref="C882">INDEX($G$53:$G$102, 917 - ROW() + 1)</f>
        <v>0.95</v>
      </c>
      <c r="D882" s="4" cm="1">
        <f t="array" ref="D882">INDEX($G$2:$G$51, 917 - ROW() + 1)</f>
        <v>0.92</v>
      </c>
      <c r="E882" s="40"/>
      <c r="F882" s="4">
        <v>105</v>
      </c>
    </row>
    <row r="883" spans="1:6" x14ac:dyDescent="0.35">
      <c r="A883" s="4" cm="1">
        <f t="array" ref="A883">INDEX($G$155:$G$204, 917 - ROW() + 1)</f>
        <v>1.6</v>
      </c>
      <c r="B883" s="4" cm="1">
        <f t="array" ref="B883">INDEX($G$104:$G$153, 917 - ROW() + 1)</f>
        <v>1.33</v>
      </c>
      <c r="C883" s="4" cm="1">
        <f t="array" ref="C883">INDEX($G$53:$G$102, 917 - ROW() + 1)</f>
        <v>1.05</v>
      </c>
      <c r="D883" s="4" cm="1">
        <f t="array" ref="D883">INDEX($G$2:$G$51, 917 - ROW() + 1)</f>
        <v>0.92</v>
      </c>
      <c r="E883" s="40"/>
      <c r="F883" s="4">
        <v>106</v>
      </c>
    </row>
    <row r="884" spans="1:6" x14ac:dyDescent="0.35">
      <c r="A884" s="4" cm="1">
        <f t="array" ref="A884">INDEX($G$155:$G$204, 917 - ROW() + 1)</f>
        <v>1.73</v>
      </c>
      <c r="B884" s="4" cm="1">
        <f t="array" ref="B884">INDEX($G$104:$G$153, 917 - ROW() + 1)</f>
        <v>1.33</v>
      </c>
      <c r="C884" s="4" cm="1">
        <f t="array" ref="C884">INDEX($G$53:$G$102, 917 - ROW() + 1)</f>
        <v>1.05</v>
      </c>
      <c r="D884" s="4" cm="1">
        <f t="array" ref="D884">INDEX($G$2:$G$51, 917 - ROW() + 1)</f>
        <v>0.92</v>
      </c>
      <c r="E884" s="40"/>
      <c r="F884" s="4">
        <v>107</v>
      </c>
    </row>
    <row r="885" spans="1:6" x14ac:dyDescent="0.35">
      <c r="A885" s="4" cm="1">
        <f t="array" ref="A885">INDEX($G$155:$G$204, 917 - ROW() + 1)</f>
        <v>1.6</v>
      </c>
      <c r="B885" s="4" cm="1">
        <f t="array" ref="B885">INDEX($G$104:$G$153, 917 - ROW() + 1)</f>
        <v>1.22</v>
      </c>
      <c r="C885" s="4" cm="1">
        <f t="array" ref="C885">INDEX($G$53:$G$102, 917 - ROW() + 1)</f>
        <v>1.05</v>
      </c>
      <c r="D885" s="4" cm="1">
        <f t="array" ref="D885">INDEX($G$2:$G$51, 917 - ROW() + 1)</f>
        <v>0.75</v>
      </c>
      <c r="E885" s="40"/>
      <c r="F885" s="4">
        <v>108</v>
      </c>
    </row>
    <row r="886" spans="1:6" x14ac:dyDescent="0.35">
      <c r="A886" s="4" cm="1">
        <f t="array" ref="A886">INDEX($G$155:$G$204, 917 - ROW() + 1)</f>
        <v>1.87</v>
      </c>
      <c r="B886" s="4" cm="1">
        <f t="array" ref="B886">INDEX($G$104:$G$153, 917 - ROW() + 1)</f>
        <v>1.22</v>
      </c>
      <c r="C886" s="4" cm="1">
        <f t="array" ref="C886">INDEX($G$53:$G$102, 917 - ROW() + 1)</f>
        <v>0.95</v>
      </c>
      <c r="D886" s="4" cm="1">
        <f t="array" ref="D886">INDEX($G$2:$G$51, 917 - ROW() + 1)</f>
        <v>0.75</v>
      </c>
      <c r="E886" s="40"/>
      <c r="F886" s="4">
        <v>109</v>
      </c>
    </row>
    <row r="887" spans="1:6" x14ac:dyDescent="0.35">
      <c r="A887" s="4" cm="1">
        <f t="array" ref="A887">INDEX($G$155:$G$204, 917 - ROW() + 1)</f>
        <v>1.6</v>
      </c>
      <c r="B887" s="4" cm="1">
        <f t="array" ref="B887">INDEX($G$104:$G$153, 917 - ROW() + 1)</f>
        <v>1</v>
      </c>
      <c r="C887" s="4" cm="1">
        <f t="array" ref="C887">INDEX($G$53:$G$102, 917 - ROW() + 1)</f>
        <v>1.05</v>
      </c>
      <c r="D887" s="4" cm="1">
        <f t="array" ref="D887">INDEX($G$2:$G$51, 917 - ROW() + 1)</f>
        <v>0.83</v>
      </c>
      <c r="E887" s="40"/>
      <c r="F887" s="4">
        <v>110</v>
      </c>
    </row>
    <row r="888" spans="1:6" x14ac:dyDescent="0.35">
      <c r="A888" s="4" cm="1">
        <f t="array" ref="A888">INDEX($G$155:$G$204, 917 - ROW() + 1)</f>
        <v>1.73</v>
      </c>
      <c r="B888" s="4" cm="1">
        <f t="array" ref="B888">INDEX($G$104:$G$153, 917 - ROW() + 1)</f>
        <v>1.33</v>
      </c>
      <c r="C888" s="4" cm="1">
        <f t="array" ref="C888">INDEX($G$53:$G$102, 917 - ROW() + 1)</f>
        <v>1.1399999999999999</v>
      </c>
      <c r="D888" s="4" cm="1">
        <f t="array" ref="D888">INDEX($G$2:$G$51, 917 - ROW() + 1)</f>
        <v>0.75</v>
      </c>
      <c r="E888" s="40"/>
      <c r="F888" s="4">
        <v>111</v>
      </c>
    </row>
    <row r="889" spans="1:6" x14ac:dyDescent="0.35">
      <c r="A889" s="4" cm="1">
        <f t="array" ref="A889">INDEX($G$155:$G$204, 917 - ROW() + 1)</f>
        <v>1.6</v>
      </c>
      <c r="B889" s="4" cm="1">
        <f t="array" ref="B889">INDEX($G$104:$G$153, 917 - ROW() + 1)</f>
        <v>1.67</v>
      </c>
      <c r="C889" s="4" cm="1">
        <f t="array" ref="C889">INDEX($G$53:$G$102, 917 - ROW() + 1)</f>
        <v>1.05</v>
      </c>
      <c r="D889" s="4" cm="1">
        <f t="array" ref="D889">INDEX($G$2:$G$51, 917 - ROW() + 1)</f>
        <v>1</v>
      </c>
      <c r="E889" s="40"/>
      <c r="F889" s="4">
        <v>112</v>
      </c>
    </row>
    <row r="890" spans="1:6" x14ac:dyDescent="0.35">
      <c r="A890" s="4" cm="1">
        <f t="array" ref="A890">INDEX($G$155:$G$204, 917 - ROW() + 1)</f>
        <v>1.73</v>
      </c>
      <c r="B890" s="4" cm="1">
        <f t="array" ref="B890">INDEX($G$104:$G$153, 917 - ROW() + 1)</f>
        <v>1.33</v>
      </c>
      <c r="C890" s="4" cm="1">
        <f t="array" ref="C890">INDEX($G$53:$G$102, 917 - ROW() + 1)</f>
        <v>1.05</v>
      </c>
      <c r="D890" s="4" cm="1">
        <f t="array" ref="D890">INDEX($G$2:$G$51, 917 - ROW() + 1)</f>
        <v>0.75</v>
      </c>
      <c r="E890" s="40"/>
      <c r="F890" s="4">
        <v>113</v>
      </c>
    </row>
    <row r="891" spans="1:6" x14ac:dyDescent="0.35">
      <c r="A891" s="4" cm="1">
        <f t="array" ref="A891">INDEX($G$155:$G$204, 917 - ROW() + 1)</f>
        <v>1.87</v>
      </c>
      <c r="B891" s="4" cm="1">
        <f t="array" ref="B891">INDEX($G$104:$G$153, 917 - ROW() + 1)</f>
        <v>1.33</v>
      </c>
      <c r="C891" s="4" cm="1">
        <f t="array" ref="C891">INDEX($G$53:$G$102, 917 - ROW() + 1)</f>
        <v>0.86</v>
      </c>
      <c r="D891" s="4" cm="1">
        <f t="array" ref="D891">INDEX($G$2:$G$51, 917 - ROW() + 1)</f>
        <v>1</v>
      </c>
      <c r="E891" s="40"/>
      <c r="F891" s="4">
        <v>114</v>
      </c>
    </row>
    <row r="892" spans="1:6" x14ac:dyDescent="0.35">
      <c r="A892" s="4" cm="1">
        <f t="array" ref="A892">INDEX($G$155:$G$204, 917 - ROW() + 1)</f>
        <v>1.6</v>
      </c>
      <c r="B892" s="4" cm="1">
        <f t="array" ref="B892">INDEX($G$104:$G$153, 917 - ROW() + 1)</f>
        <v>1.33</v>
      </c>
      <c r="C892" s="4" cm="1">
        <f t="array" ref="C892">INDEX($G$53:$G$102, 917 - ROW() + 1)</f>
        <v>0.86</v>
      </c>
      <c r="D892" s="4" cm="1">
        <f t="array" ref="D892">INDEX($G$2:$G$51, 917 - ROW() + 1)</f>
        <v>0.83</v>
      </c>
      <c r="E892" s="40"/>
      <c r="F892" s="4">
        <v>115</v>
      </c>
    </row>
    <row r="893" spans="1:6" x14ac:dyDescent="0.35">
      <c r="A893" s="4" cm="1">
        <f t="array" ref="A893">INDEX($G$155:$G$204, 917 - ROW() + 1)</f>
        <v>1.87</v>
      </c>
      <c r="B893" s="4" cm="1">
        <f t="array" ref="B893">INDEX($G$104:$G$153, 917 - ROW() + 1)</f>
        <v>1.22</v>
      </c>
      <c r="C893" s="4" cm="1">
        <f t="array" ref="C893">INDEX($G$53:$G$102, 917 - ROW() + 1)</f>
        <v>0.95</v>
      </c>
      <c r="D893" s="4" cm="1">
        <f t="array" ref="D893">INDEX($G$2:$G$51, 917 - ROW() + 1)</f>
        <v>0.67</v>
      </c>
      <c r="E893" s="40"/>
      <c r="F893" s="4">
        <v>116</v>
      </c>
    </row>
    <row r="894" spans="1:6" x14ac:dyDescent="0.35">
      <c r="A894" s="4" cm="1">
        <f t="array" ref="A894">INDEX($G$155:$G$204, 917 - ROW() + 1)</f>
        <v>1.73</v>
      </c>
      <c r="B894" s="4" cm="1">
        <f t="array" ref="B894">INDEX($G$104:$G$153, 917 - ROW() + 1)</f>
        <v>1.33</v>
      </c>
      <c r="C894" s="4" cm="1">
        <f t="array" ref="C894">INDEX($G$53:$G$102, 917 - ROW() + 1)</f>
        <v>1.1399999999999999</v>
      </c>
      <c r="D894" s="4" cm="1">
        <f t="array" ref="D894">INDEX($G$2:$G$51, 917 - ROW() + 1)</f>
        <v>0.83</v>
      </c>
      <c r="E894" s="40"/>
      <c r="F894" s="4">
        <v>117</v>
      </c>
    </row>
    <row r="895" spans="1:6" x14ac:dyDescent="0.35">
      <c r="A895" s="4" cm="1">
        <f t="array" ref="A895">INDEX($G$155:$G$204, 917 - ROW() + 1)</f>
        <v>1.6</v>
      </c>
      <c r="B895" s="4" cm="1">
        <f t="array" ref="B895">INDEX($G$104:$G$153, 917 - ROW() + 1)</f>
        <v>1.33</v>
      </c>
      <c r="C895" s="4" cm="1">
        <f t="array" ref="C895">INDEX($G$53:$G$102, 917 - ROW() + 1)</f>
        <v>1.05</v>
      </c>
      <c r="D895" s="4" cm="1">
        <f t="array" ref="D895">INDEX($G$2:$G$51, 917 - ROW() + 1)</f>
        <v>0.92</v>
      </c>
      <c r="E895" s="40"/>
      <c r="F895" s="4">
        <v>118</v>
      </c>
    </row>
    <row r="896" spans="1:6" x14ac:dyDescent="0.35">
      <c r="A896" s="4" cm="1">
        <f t="array" ref="A896">INDEX($G$155:$G$204, 917 - ROW() + 1)</f>
        <v>1.87</v>
      </c>
      <c r="B896" s="4" cm="1">
        <f t="array" ref="B896">INDEX($G$104:$G$153, 917 - ROW() + 1)</f>
        <v>1.22</v>
      </c>
      <c r="C896" s="4" cm="1">
        <f t="array" ref="C896">INDEX($G$53:$G$102, 917 - ROW() + 1)</f>
        <v>1.05</v>
      </c>
      <c r="D896" s="4" cm="1">
        <f t="array" ref="D896">INDEX($G$2:$G$51, 917 - ROW() + 1)</f>
        <v>0.67</v>
      </c>
      <c r="E896" s="40"/>
      <c r="F896" s="4">
        <v>119</v>
      </c>
    </row>
    <row r="897" spans="1:6" x14ac:dyDescent="0.35">
      <c r="A897" s="4" cm="1">
        <f t="array" ref="A897">INDEX($G$155:$G$204, 917 - ROW() + 1)</f>
        <v>2</v>
      </c>
      <c r="B897" s="4" cm="1">
        <f t="array" ref="B897">INDEX($G$104:$G$153, 917 - ROW() + 1)</f>
        <v>1.22</v>
      </c>
      <c r="C897" s="4" cm="1">
        <f t="array" ref="C897">INDEX($G$53:$G$102, 917 - ROW() + 1)</f>
        <v>1.1399999999999999</v>
      </c>
      <c r="D897" s="4" cm="1">
        <f t="array" ref="D897">INDEX($G$2:$G$51, 917 - ROW() + 1)</f>
        <v>0.92</v>
      </c>
      <c r="E897" s="40"/>
      <c r="F897" s="4">
        <v>120</v>
      </c>
    </row>
    <row r="898" spans="1:6" x14ac:dyDescent="0.35">
      <c r="A898" s="4" cm="1">
        <f t="array" ref="A898">INDEX($G$155:$G$204, 917 - ROW() + 1)</f>
        <v>1.87</v>
      </c>
      <c r="B898" s="4" cm="1">
        <f t="array" ref="B898">INDEX($G$104:$G$153, 917 - ROW() + 1)</f>
        <v>1.22</v>
      </c>
      <c r="C898" s="4" cm="1">
        <f t="array" ref="C898">INDEX($G$53:$G$102, 917 - ROW() + 1)</f>
        <v>0.86</v>
      </c>
      <c r="D898" s="4" cm="1">
        <f t="array" ref="D898">INDEX($G$2:$G$51, 917 - ROW() + 1)</f>
        <v>0.75</v>
      </c>
      <c r="E898" s="40"/>
      <c r="F898" s="4">
        <v>121</v>
      </c>
    </row>
    <row r="899" spans="1:6" x14ac:dyDescent="0.35">
      <c r="A899" s="4" cm="1">
        <f t="array" ref="A899">INDEX($G$155:$G$204, 917 - ROW() + 1)</f>
        <v>1.6</v>
      </c>
      <c r="B899" s="4" cm="1">
        <f t="array" ref="B899">INDEX($G$104:$G$153, 917 - ROW() + 1)</f>
        <v>1.33</v>
      </c>
      <c r="C899" s="4" cm="1">
        <f t="array" ref="C899">INDEX($G$53:$G$102, 917 - ROW() + 1)</f>
        <v>0.86</v>
      </c>
      <c r="D899" s="4" cm="1">
        <f t="array" ref="D899">INDEX($G$2:$G$51, 917 - ROW() + 1)</f>
        <v>0.92</v>
      </c>
      <c r="E899" s="40"/>
      <c r="F899" s="4">
        <v>122</v>
      </c>
    </row>
    <row r="900" spans="1:6" x14ac:dyDescent="0.35">
      <c r="A900" s="4" cm="1">
        <f t="array" ref="A900">INDEX($G$155:$G$204, 917 - ROW() + 1)</f>
        <v>1.6</v>
      </c>
      <c r="B900" s="4" cm="1">
        <f t="array" ref="B900">INDEX($G$104:$G$153, 917 - ROW() + 1)</f>
        <v>1.22</v>
      </c>
      <c r="C900" s="4" cm="1">
        <f t="array" ref="C900">INDEX($G$53:$G$102, 917 - ROW() + 1)</f>
        <v>1.1399999999999999</v>
      </c>
      <c r="D900" s="4" cm="1">
        <f t="array" ref="D900">INDEX($G$2:$G$51, 917 - ROW() + 1)</f>
        <v>0.75</v>
      </c>
      <c r="E900" s="40"/>
      <c r="F900" s="4">
        <v>123</v>
      </c>
    </row>
    <row r="901" spans="1:6" x14ac:dyDescent="0.35">
      <c r="A901" s="4" cm="1">
        <f t="array" ref="A901">INDEX($G$155:$G$204, 917 - ROW() + 1)</f>
        <v>1.73</v>
      </c>
      <c r="B901" s="4" cm="1">
        <f t="array" ref="B901">INDEX($G$104:$G$153, 917 - ROW() + 1)</f>
        <v>1.33</v>
      </c>
      <c r="C901" s="4" cm="1">
        <f t="array" ref="C901">INDEX($G$53:$G$102, 917 - ROW() + 1)</f>
        <v>1.05</v>
      </c>
      <c r="D901" s="4" cm="1">
        <f t="array" ref="D901">INDEX($G$2:$G$51, 917 - ROW() + 1)</f>
        <v>0.67</v>
      </c>
      <c r="E901" s="40"/>
      <c r="F901" s="4">
        <v>124</v>
      </c>
    </row>
    <row r="902" spans="1:6" x14ac:dyDescent="0.35">
      <c r="A902" s="4" cm="1">
        <f t="array" ref="A902">INDEX($G$155:$G$204, 917 - ROW() + 1)</f>
        <v>1.87</v>
      </c>
      <c r="B902" s="4" cm="1">
        <f t="array" ref="B902">INDEX($G$104:$G$153, 917 - ROW() + 1)</f>
        <v>1.33</v>
      </c>
      <c r="C902" s="4" cm="1">
        <f t="array" ref="C902">INDEX($G$53:$G$102, 917 - ROW() + 1)</f>
        <v>1.05</v>
      </c>
      <c r="D902" s="4" cm="1">
        <f t="array" ref="D902">INDEX($G$2:$G$51, 917 - ROW() + 1)</f>
        <v>0.83</v>
      </c>
      <c r="E902" s="40"/>
      <c r="F902" s="4">
        <v>125</v>
      </c>
    </row>
    <row r="903" spans="1:6" x14ac:dyDescent="0.35">
      <c r="A903" s="4" cm="1">
        <f t="array" ref="A903">INDEX($G$155:$G$204, 917 - ROW() + 1)</f>
        <v>1.73</v>
      </c>
      <c r="B903" s="4" cm="1">
        <f t="array" ref="B903">INDEX($G$104:$G$153, 917 - ROW() + 1)</f>
        <v>1</v>
      </c>
      <c r="C903" s="4" cm="1">
        <f t="array" ref="C903">INDEX($G$53:$G$102, 917 - ROW() + 1)</f>
        <v>0.76</v>
      </c>
      <c r="D903" s="4" cm="1">
        <f t="array" ref="D903">INDEX($G$2:$G$51, 917 - ROW() + 1)</f>
        <v>0.75</v>
      </c>
      <c r="E903" s="40"/>
      <c r="F903" s="4">
        <v>126</v>
      </c>
    </row>
    <row r="904" spans="1:6" x14ac:dyDescent="0.35">
      <c r="A904" s="4" cm="1">
        <f t="array" ref="A904">INDEX($G$155:$G$204, 917 - ROW() + 1)</f>
        <v>1.87</v>
      </c>
      <c r="B904" s="4" cm="1">
        <f t="array" ref="B904">INDEX($G$104:$G$153, 917 - ROW() + 1)</f>
        <v>1.33</v>
      </c>
      <c r="C904" s="4" cm="1">
        <f t="array" ref="C904">INDEX($G$53:$G$102, 917 - ROW() + 1)</f>
        <v>1.05</v>
      </c>
      <c r="D904" s="4" cm="1">
        <f t="array" ref="D904">INDEX($G$2:$G$51, 917 - ROW() + 1)</f>
        <v>0.5</v>
      </c>
      <c r="E904" s="40"/>
      <c r="F904" s="4">
        <v>127</v>
      </c>
    </row>
    <row r="905" spans="1:6" x14ac:dyDescent="0.35">
      <c r="A905" s="4" cm="1">
        <f t="array" ref="A905">INDEX($G$155:$G$204, 917 - ROW() + 1)</f>
        <v>2</v>
      </c>
      <c r="B905" s="4" cm="1">
        <f t="array" ref="B905">INDEX($G$104:$G$153, 917 - ROW() + 1)</f>
        <v>1.56</v>
      </c>
      <c r="C905" s="4" cm="1">
        <f t="array" ref="C905">INDEX($G$53:$G$102, 917 - ROW() + 1)</f>
        <v>1.05</v>
      </c>
      <c r="D905" s="4" cm="1">
        <f t="array" ref="D905">INDEX($G$2:$G$51, 917 - ROW() + 1)</f>
        <v>0.83</v>
      </c>
      <c r="E905" s="40"/>
      <c r="F905" s="4">
        <v>128</v>
      </c>
    </row>
    <row r="906" spans="1:6" x14ac:dyDescent="0.35">
      <c r="A906" s="4" cm="1">
        <f t="array" ref="A906">INDEX($G$155:$G$204, 917 - ROW() + 1)</f>
        <v>1.47</v>
      </c>
      <c r="B906" s="4" cm="1">
        <f t="array" ref="B906">INDEX($G$104:$G$153, 917 - ROW() + 1)</f>
        <v>1.33</v>
      </c>
      <c r="C906" s="4" cm="1">
        <f t="array" ref="C906">INDEX($G$53:$G$102, 917 - ROW() + 1)</f>
        <v>0.86</v>
      </c>
      <c r="D906" s="4" cm="1">
        <f t="array" ref="D906">INDEX($G$2:$G$51, 917 - ROW() + 1)</f>
        <v>0.67</v>
      </c>
      <c r="E906" s="40"/>
      <c r="F906" s="4">
        <v>129</v>
      </c>
    </row>
    <row r="907" spans="1:6" x14ac:dyDescent="0.35">
      <c r="A907" s="4" cm="1">
        <f t="array" ref="A907">INDEX($G$155:$G$204, 917 - ROW() + 1)</f>
        <v>1.87</v>
      </c>
      <c r="B907" s="4" cm="1">
        <f t="array" ref="B907">INDEX($G$104:$G$153, 917 - ROW() + 1)</f>
        <v>1.33</v>
      </c>
      <c r="C907" s="4" cm="1">
        <f t="array" ref="C907">INDEX($G$53:$G$102, 917 - ROW() + 1)</f>
        <v>0.95</v>
      </c>
      <c r="D907" s="4" cm="1">
        <f t="array" ref="D907">INDEX($G$2:$G$51, 917 - ROW() + 1)</f>
        <v>0.67</v>
      </c>
      <c r="E907" s="40"/>
      <c r="F907" s="4">
        <v>130</v>
      </c>
    </row>
    <row r="908" spans="1:6" x14ac:dyDescent="0.35">
      <c r="A908" s="4" cm="1">
        <f t="array" ref="A908">INDEX($G$155:$G$204, 917 - ROW() + 1)</f>
        <v>1.87</v>
      </c>
      <c r="B908" s="4" cm="1">
        <f t="array" ref="B908">INDEX($G$104:$G$153, 917 - ROW() + 1)</f>
        <v>1.56</v>
      </c>
      <c r="C908" s="4" cm="1">
        <f t="array" ref="C908">INDEX($G$53:$G$102, 917 - ROW() + 1)</f>
        <v>0.86</v>
      </c>
      <c r="D908" s="4" cm="1">
        <f t="array" ref="D908">INDEX($G$2:$G$51, 917 - ROW() + 1)</f>
        <v>1.08</v>
      </c>
      <c r="E908" s="40"/>
      <c r="F908" s="4">
        <v>131</v>
      </c>
    </row>
    <row r="909" spans="1:6" x14ac:dyDescent="0.35">
      <c r="A909" s="4" cm="1">
        <f t="array" ref="A909">INDEX($G$155:$G$204, 917 - ROW() + 1)</f>
        <v>1.87</v>
      </c>
      <c r="B909" s="4" cm="1">
        <f t="array" ref="B909">INDEX($G$104:$G$153, 917 - ROW() + 1)</f>
        <v>1.1100000000000001</v>
      </c>
      <c r="C909" s="4" cm="1">
        <f t="array" ref="C909">INDEX($G$53:$G$102, 917 - ROW() + 1)</f>
        <v>0.95</v>
      </c>
      <c r="D909" s="4" cm="1">
        <f t="array" ref="D909">INDEX($G$2:$G$51, 917 - ROW() + 1)</f>
        <v>0.67</v>
      </c>
      <c r="E909" s="40"/>
      <c r="F909" s="4">
        <v>132</v>
      </c>
    </row>
    <row r="910" spans="1:6" x14ac:dyDescent="0.35">
      <c r="A910" s="4" cm="1">
        <f t="array" ref="A910">INDEX($G$155:$G$204, 917 - ROW() + 1)</f>
        <v>1.73</v>
      </c>
      <c r="B910" s="4" cm="1">
        <f t="array" ref="B910">INDEX($G$104:$G$153, 917 - ROW() + 1)</f>
        <v>1.56</v>
      </c>
      <c r="C910" s="4" cm="1">
        <f t="array" ref="C910">INDEX($G$53:$G$102, 917 - ROW() + 1)</f>
        <v>1.1399999999999999</v>
      </c>
      <c r="D910" s="4" cm="1">
        <f t="array" ref="D910">INDEX($G$2:$G$51, 917 - ROW() + 1)</f>
        <v>1</v>
      </c>
      <c r="E910" s="40"/>
      <c r="F910" s="4">
        <v>133</v>
      </c>
    </row>
    <row r="911" spans="1:6" x14ac:dyDescent="0.35">
      <c r="A911" s="4" cm="1">
        <f t="array" ref="A911">INDEX($G$155:$G$204, 917 - ROW() + 1)</f>
        <v>1.6</v>
      </c>
      <c r="B911" s="4" cm="1">
        <f t="array" ref="B911">INDEX($G$104:$G$153, 917 - ROW() + 1)</f>
        <v>1.56</v>
      </c>
      <c r="C911" s="4" cm="1">
        <f t="array" ref="C911">INDEX($G$53:$G$102, 917 - ROW() + 1)</f>
        <v>1.05</v>
      </c>
      <c r="D911" s="4" cm="1">
        <f t="array" ref="D911">INDEX($G$2:$G$51, 917 - ROW() + 1)</f>
        <v>0.75</v>
      </c>
      <c r="E911" s="40"/>
      <c r="F911" s="4">
        <v>134</v>
      </c>
    </row>
    <row r="912" spans="1:6" x14ac:dyDescent="0.35">
      <c r="A912" s="4" cm="1">
        <f t="array" ref="A912">INDEX($G$155:$G$204, 917 - ROW() + 1)</f>
        <v>1.6</v>
      </c>
      <c r="B912" s="4" cm="1">
        <f t="array" ref="B912">INDEX($G$104:$G$153, 917 - ROW() + 1)</f>
        <v>1.22</v>
      </c>
      <c r="C912" s="4" cm="1">
        <f t="array" ref="C912">INDEX($G$53:$G$102, 917 - ROW() + 1)</f>
        <v>1.05</v>
      </c>
      <c r="D912" s="4" cm="1">
        <f t="array" ref="D912">INDEX($G$2:$G$51, 917 - ROW() + 1)</f>
        <v>1</v>
      </c>
      <c r="E912" s="40"/>
      <c r="F912" s="4">
        <v>135</v>
      </c>
    </row>
    <row r="913" spans="1:6" x14ac:dyDescent="0.35">
      <c r="A913" s="4" cm="1">
        <f t="array" ref="A913">INDEX($G$155:$G$204, 917 - ROW() + 1)</f>
        <v>1.87</v>
      </c>
      <c r="B913" s="4" cm="1">
        <f t="array" ref="B913">INDEX($G$104:$G$153, 917 - ROW() + 1)</f>
        <v>1.44</v>
      </c>
      <c r="C913" s="4" cm="1">
        <f t="array" ref="C913">INDEX($G$53:$G$102, 917 - ROW() + 1)</f>
        <v>0.95</v>
      </c>
      <c r="D913" s="4" cm="1">
        <f t="array" ref="D913">INDEX($G$2:$G$51, 917 - ROW() + 1)</f>
        <v>0.67</v>
      </c>
      <c r="E913" s="40"/>
      <c r="F913" s="4">
        <v>136</v>
      </c>
    </row>
    <row r="914" spans="1:6" x14ac:dyDescent="0.35">
      <c r="A914" s="4" cm="1">
        <f t="array" ref="A914">INDEX($G$155:$G$204, 917 - ROW() + 1)</f>
        <v>1.87</v>
      </c>
      <c r="B914" s="4" cm="1">
        <f t="array" ref="B914">INDEX($G$104:$G$153, 917 - ROW() + 1)</f>
        <v>1.22</v>
      </c>
      <c r="C914" s="4" cm="1">
        <f t="array" ref="C914">INDEX($G$53:$G$102, 917 - ROW() + 1)</f>
        <v>1.1399999999999999</v>
      </c>
      <c r="D914" s="4" cm="1">
        <f t="array" ref="D914">INDEX($G$2:$G$51, 917 - ROW() + 1)</f>
        <v>0.83</v>
      </c>
      <c r="E914" s="40"/>
      <c r="F914" s="4">
        <v>137</v>
      </c>
    </row>
    <row r="915" spans="1:6" x14ac:dyDescent="0.35">
      <c r="A915" s="4" cm="1">
        <f t="array" ref="A915">INDEX($G$155:$G$204, 917 - ROW() + 1)</f>
        <v>1.73</v>
      </c>
      <c r="B915" s="4" cm="1">
        <f t="array" ref="B915">INDEX($G$104:$G$153, 917 - ROW() + 1)</f>
        <v>1.22</v>
      </c>
      <c r="C915" s="4" cm="1">
        <f t="array" ref="C915">INDEX($G$53:$G$102, 917 - ROW() + 1)</f>
        <v>1.05</v>
      </c>
      <c r="D915" s="4" cm="1">
        <f t="array" ref="D915">INDEX($G$2:$G$51, 917 - ROW() + 1)</f>
        <v>0.67</v>
      </c>
      <c r="E915" s="40"/>
      <c r="F915" s="4">
        <v>138</v>
      </c>
    </row>
    <row r="916" spans="1:6" x14ac:dyDescent="0.35">
      <c r="A916" s="4" cm="1">
        <f t="array" ref="A916">INDEX($G$155:$G$204, 917 - ROW() + 1)</f>
        <v>1.6</v>
      </c>
      <c r="B916" s="4" cm="1">
        <f t="array" ref="B916">INDEX($G$104:$G$153, 917 - ROW() + 1)</f>
        <v>1.56</v>
      </c>
      <c r="C916" s="4" cm="1">
        <f t="array" ref="C916">INDEX($G$53:$G$102, 917 - ROW() + 1)</f>
        <v>0.95</v>
      </c>
      <c r="D916" s="4" cm="1">
        <f t="array" ref="D916">INDEX($G$2:$G$51, 917 - ROW() + 1)</f>
        <v>0.57999999999999996</v>
      </c>
      <c r="E916" s="40"/>
      <c r="F916" s="4">
        <v>139</v>
      </c>
    </row>
    <row r="917" spans="1:6" x14ac:dyDescent="0.35">
      <c r="A917" s="4" cm="1">
        <f t="array" ref="A917">INDEX($G$155:$G$204, 917 - ROW() + 1)</f>
        <v>1.87</v>
      </c>
      <c r="B917" s="4" cm="1">
        <f t="array" ref="B917">INDEX($G$104:$G$153, 917 - ROW() + 1)</f>
        <v>1.33</v>
      </c>
      <c r="C917" s="4" cm="1">
        <f t="array" ref="C917">INDEX($G$53:$G$102, 917 - ROW() + 1)</f>
        <v>1.1399999999999999</v>
      </c>
      <c r="D917" s="4" cm="1">
        <f t="array" ref="D917">INDEX($G$2:$G$51, 917 - ROW() + 1)</f>
        <v>0.67</v>
      </c>
      <c r="E917" s="40"/>
      <c r="F917" s="4">
        <v>140</v>
      </c>
    </row>
    <row r="918" spans="1:6" x14ac:dyDescent="0.35">
      <c r="F918" s="4">
        <v>141</v>
      </c>
    </row>
    <row r="919" spans="1:6" x14ac:dyDescent="0.35">
      <c r="F919" s="4">
        <v>142</v>
      </c>
    </row>
    <row r="920" spans="1:6" x14ac:dyDescent="0.35">
      <c r="F920" s="4">
        <v>143</v>
      </c>
    </row>
    <row r="921" spans="1:6" x14ac:dyDescent="0.35">
      <c r="F921" s="4">
        <v>144</v>
      </c>
    </row>
    <row r="922" spans="1:6" x14ac:dyDescent="0.35">
      <c r="F922" s="4">
        <v>145</v>
      </c>
    </row>
    <row r="923" spans="1:6" x14ac:dyDescent="0.35">
      <c r="F923" s="4">
        <v>146</v>
      </c>
    </row>
    <row r="924" spans="1:6" x14ac:dyDescent="0.35">
      <c r="F924" s="4">
        <v>147</v>
      </c>
    </row>
    <row r="925" spans="1:6" x14ac:dyDescent="0.35">
      <c r="F925" s="4">
        <v>148</v>
      </c>
    </row>
    <row r="926" spans="1:6" x14ac:dyDescent="0.35">
      <c r="F926" s="4">
        <v>149</v>
      </c>
    </row>
    <row r="927" spans="1:6" x14ac:dyDescent="0.35">
      <c r="F927" s="4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A389-CF6B-40BA-ACAB-392D1DAF1D61}">
  <sheetPr>
    <tabColor rgb="FFFFC000"/>
  </sheetPr>
  <dimension ref="A1:B116"/>
  <sheetViews>
    <sheetView topLeftCell="A19" zoomScale="85" zoomScaleNormal="85" workbookViewId="0">
      <selection activeCell="T14" sqref="T14"/>
    </sheetView>
  </sheetViews>
  <sheetFormatPr defaultRowHeight="14.5" x14ac:dyDescent="0.35"/>
  <cols>
    <col min="1" max="1" width="12.7265625" customWidth="1"/>
    <col min="2" max="2" width="13.26953125" customWidth="1"/>
  </cols>
  <sheetData>
    <row r="1" spans="1:2" x14ac:dyDescent="0.35">
      <c r="A1" s="4" t="s">
        <v>7</v>
      </c>
      <c r="B1" s="4" t="s">
        <v>1525</v>
      </c>
    </row>
    <row r="2" spans="1:2" x14ac:dyDescent="0.35">
      <c r="A2" s="4">
        <v>20</v>
      </c>
      <c r="B2" s="5">
        <f>AVERAGE('750 Pieces'!J716:J765,'750 Pieces'!J461:J510,'750 Pieces'!J206:J255)</f>
        <v>2.1437333333333339</v>
      </c>
    </row>
    <row r="3" spans="1:2" x14ac:dyDescent="0.35">
      <c r="A3" s="4">
        <v>25</v>
      </c>
      <c r="B3" s="5">
        <f>AVERAGE('750 Pieces'!J665:J714,'750 Pieces'!J410:J459,'750 Pieces'!J155:J204)</f>
        <v>1.6245999999999983</v>
      </c>
    </row>
    <row r="4" spans="1:2" x14ac:dyDescent="0.35">
      <c r="A4" s="4">
        <v>30</v>
      </c>
      <c r="B4" s="5">
        <f>AVERAGE('750 Pieces'!J614:J663,'750 Pieces'!J359:J408,'750 Pieces'!J104:J153)</f>
        <v>1.2290666666666674</v>
      </c>
    </row>
    <row r="5" spans="1:2" x14ac:dyDescent="0.35">
      <c r="A5" s="4">
        <v>35</v>
      </c>
      <c r="B5" s="5">
        <f>AVERAGE('750 Pieces'!J563:J612,'750 Pieces'!J308:J357,'750 Pieces'!J53:J102)</f>
        <v>0.98646666666666671</v>
      </c>
    </row>
    <row r="6" spans="1:2" x14ac:dyDescent="0.35">
      <c r="A6" s="4">
        <v>40</v>
      </c>
      <c r="B6" s="5">
        <f>AVERAGE('750 Pieces'!J2:J51,'750 Pieces'!J257:J306,'750 Pieces'!J512:J561)</f>
        <v>0.85386666666666688</v>
      </c>
    </row>
    <row r="20" spans="1:1" x14ac:dyDescent="0.35">
      <c r="A20" s="11"/>
    </row>
    <row r="21" spans="1:1" x14ac:dyDescent="0.35">
      <c r="A21" s="4" t="s">
        <v>1579</v>
      </c>
    </row>
    <row r="22" spans="1:1" x14ac:dyDescent="0.35">
      <c r="A22" s="4"/>
    </row>
    <row r="23" spans="1:1" x14ac:dyDescent="0.35">
      <c r="A23" s="4"/>
    </row>
    <row r="24" spans="1:1" x14ac:dyDescent="0.35">
      <c r="A24" s="4"/>
    </row>
    <row r="25" spans="1:1" x14ac:dyDescent="0.35">
      <c r="A25" s="4"/>
    </row>
    <row r="40" spans="1:1" x14ac:dyDescent="0.35">
      <c r="A40" s="4" t="s">
        <v>1585</v>
      </c>
    </row>
    <row r="59" spans="1:1" x14ac:dyDescent="0.35">
      <c r="A59" s="4" t="s">
        <v>1586</v>
      </c>
    </row>
    <row r="78" spans="1:1" x14ac:dyDescent="0.35">
      <c r="A78" s="4" t="s">
        <v>1587</v>
      </c>
    </row>
    <row r="97" spans="1:1" x14ac:dyDescent="0.35">
      <c r="A97" s="4" t="s">
        <v>1587</v>
      </c>
    </row>
    <row r="116" spans="1:1" x14ac:dyDescent="0.35">
      <c r="A116" t="s">
        <v>1588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7EC5-F0A4-4006-A538-EDA0590C0FC0}">
  <sheetPr>
    <tabColor rgb="FFFFC000"/>
  </sheetPr>
  <dimension ref="A1:D17"/>
  <sheetViews>
    <sheetView topLeftCell="A16" zoomScaleNormal="100" workbookViewId="0">
      <selection activeCell="G38" sqref="G38"/>
    </sheetView>
  </sheetViews>
  <sheetFormatPr defaultRowHeight="14.5" x14ac:dyDescent="0.35"/>
  <sheetData>
    <row r="1" spans="1:4" x14ac:dyDescent="0.35">
      <c r="A1" s="39" t="s">
        <v>1590</v>
      </c>
      <c r="B1" s="39"/>
      <c r="C1" s="39"/>
      <c r="D1" s="39"/>
    </row>
    <row r="17" spans="1:1" x14ac:dyDescent="0.35">
      <c r="A17" t="s">
        <v>1593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715C-4B35-4A56-8C08-C5A55949D055}">
  <sheetPr>
    <tabColor rgb="FF92D050"/>
  </sheetPr>
  <dimension ref="A1:M49"/>
  <sheetViews>
    <sheetView topLeftCell="A31" workbookViewId="0">
      <selection activeCell="E49" sqref="A28:E49"/>
    </sheetView>
  </sheetViews>
  <sheetFormatPr defaultRowHeight="14.5" x14ac:dyDescent="0.35"/>
  <cols>
    <col min="1" max="1" width="14.36328125" customWidth="1"/>
    <col min="2" max="2" width="21.7265625" customWidth="1"/>
    <col min="3" max="3" width="19" customWidth="1"/>
    <col min="4" max="4" width="16.36328125" customWidth="1"/>
    <col min="5" max="5" width="18.90625" customWidth="1"/>
    <col min="6" max="6" width="15.7265625" customWidth="1"/>
    <col min="9" max="9" width="17.54296875" customWidth="1"/>
    <col min="10" max="10" width="14" customWidth="1"/>
    <col min="11" max="11" width="14.7265625" customWidth="1"/>
    <col min="12" max="12" width="13.453125" customWidth="1"/>
    <col min="13" max="13" width="34.6328125" customWidth="1"/>
  </cols>
  <sheetData>
    <row r="1" spans="1:1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35">
      <c r="A2">
        <v>820</v>
      </c>
      <c r="B2" t="s">
        <v>1526</v>
      </c>
      <c r="C2">
        <v>770</v>
      </c>
      <c r="D2">
        <v>5</v>
      </c>
      <c r="E2" t="s">
        <v>35</v>
      </c>
      <c r="F2">
        <v>1</v>
      </c>
      <c r="G2">
        <v>1186</v>
      </c>
      <c r="H2">
        <v>40</v>
      </c>
      <c r="I2">
        <v>1200</v>
      </c>
      <c r="J2">
        <v>1.17</v>
      </c>
      <c r="K2">
        <v>0.161</v>
      </c>
      <c r="L2">
        <v>3.5</v>
      </c>
      <c r="M2" t="s">
        <v>1527</v>
      </c>
    </row>
    <row r="3" spans="1:13" x14ac:dyDescent="0.35">
      <c r="A3">
        <v>819</v>
      </c>
      <c r="B3" t="s">
        <v>1528</v>
      </c>
      <c r="C3">
        <v>769</v>
      </c>
      <c r="D3">
        <v>8</v>
      </c>
      <c r="E3" t="s">
        <v>38</v>
      </c>
      <c r="F3">
        <v>2.1</v>
      </c>
      <c r="G3">
        <v>1188</v>
      </c>
      <c r="H3">
        <v>40</v>
      </c>
      <c r="I3">
        <v>1200</v>
      </c>
      <c r="J3">
        <v>1</v>
      </c>
      <c r="K3">
        <v>0.16200000000000001</v>
      </c>
      <c r="L3">
        <v>3.5</v>
      </c>
      <c r="M3" t="s">
        <v>1529</v>
      </c>
    </row>
    <row r="4" spans="1:13" x14ac:dyDescent="0.35">
      <c r="A4">
        <v>818</v>
      </c>
      <c r="B4" t="s">
        <v>1530</v>
      </c>
      <c r="C4">
        <v>768</v>
      </c>
      <c r="D4">
        <v>2</v>
      </c>
      <c r="E4" t="s">
        <v>74</v>
      </c>
      <c r="F4">
        <v>1.3</v>
      </c>
      <c r="G4">
        <v>1189</v>
      </c>
      <c r="H4">
        <v>40</v>
      </c>
      <c r="I4">
        <v>1200</v>
      </c>
      <c r="J4">
        <v>0.92</v>
      </c>
      <c r="K4">
        <v>0.16200000000000001</v>
      </c>
      <c r="L4">
        <v>3.5</v>
      </c>
      <c r="M4" t="s">
        <v>1531</v>
      </c>
    </row>
    <row r="5" spans="1:13" x14ac:dyDescent="0.35">
      <c r="A5">
        <v>817</v>
      </c>
      <c r="B5" t="s">
        <v>1532</v>
      </c>
      <c r="C5">
        <v>767</v>
      </c>
      <c r="D5">
        <v>9</v>
      </c>
      <c r="E5" t="s">
        <v>44</v>
      </c>
      <c r="F5">
        <v>1.1000000000000001</v>
      </c>
      <c r="G5">
        <v>1191</v>
      </c>
      <c r="H5">
        <v>40</v>
      </c>
      <c r="I5">
        <v>1200</v>
      </c>
      <c r="J5">
        <v>0.75</v>
      </c>
      <c r="K5">
        <v>0.16200000000000001</v>
      </c>
      <c r="L5">
        <v>3.5</v>
      </c>
      <c r="M5" t="s">
        <v>1533</v>
      </c>
    </row>
    <row r="6" spans="1:13" x14ac:dyDescent="0.35">
      <c r="A6">
        <v>816</v>
      </c>
      <c r="B6" t="s">
        <v>1534</v>
      </c>
      <c r="C6">
        <v>766</v>
      </c>
      <c r="D6">
        <v>6</v>
      </c>
      <c r="E6" t="s">
        <v>14</v>
      </c>
      <c r="F6">
        <v>1.4</v>
      </c>
      <c r="G6">
        <v>1188</v>
      </c>
      <c r="H6">
        <v>40</v>
      </c>
      <c r="I6">
        <v>1200</v>
      </c>
      <c r="J6">
        <v>1</v>
      </c>
      <c r="K6">
        <v>0.16200000000000001</v>
      </c>
      <c r="L6">
        <v>3.5</v>
      </c>
      <c r="M6" t="s">
        <v>1535</v>
      </c>
    </row>
    <row r="7" spans="1:13" x14ac:dyDescent="0.35">
      <c r="A7">
        <v>815</v>
      </c>
      <c r="B7" t="s">
        <v>1536</v>
      </c>
      <c r="C7">
        <v>765</v>
      </c>
      <c r="D7">
        <v>7</v>
      </c>
      <c r="E7" t="s">
        <v>17</v>
      </c>
      <c r="F7">
        <v>2.9</v>
      </c>
      <c r="G7">
        <v>1188</v>
      </c>
      <c r="H7">
        <v>40</v>
      </c>
      <c r="I7">
        <v>1200</v>
      </c>
      <c r="J7">
        <v>1</v>
      </c>
      <c r="K7">
        <v>0.16200000000000001</v>
      </c>
      <c r="L7">
        <v>3.5</v>
      </c>
      <c r="M7" t="s">
        <v>1537</v>
      </c>
    </row>
    <row r="8" spans="1:13" x14ac:dyDescent="0.35">
      <c r="A8">
        <v>814</v>
      </c>
      <c r="B8" t="s">
        <v>1538</v>
      </c>
      <c r="C8">
        <v>764</v>
      </c>
      <c r="D8">
        <v>4</v>
      </c>
      <c r="E8" t="s">
        <v>28</v>
      </c>
      <c r="F8">
        <v>2.5</v>
      </c>
      <c r="G8">
        <v>1186</v>
      </c>
      <c r="H8">
        <v>40</v>
      </c>
      <c r="I8">
        <v>1200</v>
      </c>
      <c r="J8">
        <v>1.17</v>
      </c>
      <c r="K8">
        <v>0.161</v>
      </c>
      <c r="L8">
        <v>3.5</v>
      </c>
      <c r="M8" t="s">
        <v>1539</v>
      </c>
    </row>
    <row r="9" spans="1:13" x14ac:dyDescent="0.35">
      <c r="A9">
        <v>813</v>
      </c>
      <c r="B9" t="s">
        <v>1540</v>
      </c>
      <c r="C9">
        <v>763</v>
      </c>
      <c r="D9">
        <v>12</v>
      </c>
      <c r="E9" t="s">
        <v>59</v>
      </c>
      <c r="F9">
        <v>0</v>
      </c>
      <c r="G9">
        <v>1190</v>
      </c>
      <c r="H9">
        <v>40</v>
      </c>
      <c r="I9">
        <v>1200</v>
      </c>
      <c r="J9">
        <v>0.83</v>
      </c>
      <c r="K9">
        <v>0.16200000000000001</v>
      </c>
      <c r="L9">
        <v>3.5</v>
      </c>
      <c r="M9" t="s">
        <v>1541</v>
      </c>
    </row>
    <row r="10" spans="1:13" x14ac:dyDescent="0.35">
      <c r="A10">
        <v>812</v>
      </c>
      <c r="B10" t="s">
        <v>1542</v>
      </c>
      <c r="C10">
        <v>762</v>
      </c>
      <c r="D10">
        <v>3</v>
      </c>
      <c r="E10" t="s">
        <v>20</v>
      </c>
      <c r="F10">
        <v>1</v>
      </c>
      <c r="G10">
        <v>1188</v>
      </c>
      <c r="H10">
        <v>40</v>
      </c>
      <c r="I10">
        <v>1200</v>
      </c>
      <c r="J10">
        <v>1</v>
      </c>
      <c r="K10">
        <v>0.16200000000000001</v>
      </c>
      <c r="L10">
        <v>3.5</v>
      </c>
      <c r="M10" t="s">
        <v>1543</v>
      </c>
    </row>
    <row r="11" spans="1:13" x14ac:dyDescent="0.35">
      <c r="A11">
        <v>811</v>
      </c>
      <c r="B11" t="s">
        <v>1544</v>
      </c>
      <c r="C11">
        <v>761</v>
      </c>
      <c r="D11">
        <v>5</v>
      </c>
      <c r="E11" t="s">
        <v>35</v>
      </c>
      <c r="F11">
        <v>1.2</v>
      </c>
      <c r="G11">
        <v>1189</v>
      </c>
      <c r="H11">
        <v>40</v>
      </c>
      <c r="I11">
        <v>1200</v>
      </c>
      <c r="J11">
        <v>0.92</v>
      </c>
      <c r="K11">
        <v>0.16200000000000001</v>
      </c>
      <c r="L11">
        <v>3.5</v>
      </c>
      <c r="M11" t="s">
        <v>1545</v>
      </c>
    </row>
    <row r="12" spans="1:13" x14ac:dyDescent="0.35">
      <c r="A12">
        <v>810</v>
      </c>
      <c r="B12" t="s">
        <v>1546</v>
      </c>
      <c r="C12">
        <v>760</v>
      </c>
      <c r="D12">
        <v>8</v>
      </c>
      <c r="E12" t="s">
        <v>38</v>
      </c>
      <c r="F12">
        <v>2.1</v>
      </c>
      <c r="G12">
        <v>1190</v>
      </c>
      <c r="H12">
        <v>40</v>
      </c>
      <c r="I12">
        <v>1200</v>
      </c>
      <c r="J12">
        <v>0.83</v>
      </c>
      <c r="K12">
        <v>0.16200000000000001</v>
      </c>
      <c r="L12">
        <v>3.5</v>
      </c>
      <c r="M12" t="s">
        <v>1547</v>
      </c>
    </row>
    <row r="13" spans="1:13" x14ac:dyDescent="0.35">
      <c r="A13">
        <v>809</v>
      </c>
      <c r="B13" t="s">
        <v>1548</v>
      </c>
      <c r="C13">
        <v>759</v>
      </c>
      <c r="D13">
        <v>2</v>
      </c>
      <c r="E13" t="s">
        <v>74</v>
      </c>
      <c r="F13">
        <v>1.3</v>
      </c>
      <c r="G13">
        <v>1185</v>
      </c>
      <c r="H13">
        <v>40</v>
      </c>
      <c r="I13">
        <v>1200</v>
      </c>
      <c r="J13">
        <v>1.25</v>
      </c>
      <c r="K13">
        <v>0.161</v>
      </c>
      <c r="L13">
        <v>3.5</v>
      </c>
      <c r="M13" t="s">
        <v>1549</v>
      </c>
    </row>
    <row r="14" spans="1:13" x14ac:dyDescent="0.35">
      <c r="A14">
        <v>808</v>
      </c>
      <c r="B14" t="s">
        <v>1550</v>
      </c>
      <c r="C14">
        <v>758</v>
      </c>
      <c r="D14">
        <v>9</v>
      </c>
      <c r="E14" t="s">
        <v>44</v>
      </c>
      <c r="F14">
        <v>1.2</v>
      </c>
      <c r="G14">
        <v>1185</v>
      </c>
      <c r="H14">
        <v>40</v>
      </c>
      <c r="I14">
        <v>1200</v>
      </c>
      <c r="J14">
        <v>1.25</v>
      </c>
      <c r="K14">
        <v>0.161</v>
      </c>
      <c r="L14">
        <v>3.5</v>
      </c>
      <c r="M14" t="s">
        <v>1551</v>
      </c>
    </row>
    <row r="15" spans="1:13" x14ac:dyDescent="0.35">
      <c r="A15">
        <v>807</v>
      </c>
      <c r="B15" t="s">
        <v>1552</v>
      </c>
      <c r="C15">
        <v>757</v>
      </c>
      <c r="D15">
        <v>6</v>
      </c>
      <c r="E15" t="s">
        <v>14</v>
      </c>
      <c r="F15">
        <v>1.2</v>
      </c>
      <c r="G15">
        <v>1188</v>
      </c>
      <c r="H15">
        <v>40</v>
      </c>
      <c r="I15">
        <v>1200</v>
      </c>
      <c r="J15">
        <v>1</v>
      </c>
      <c r="K15">
        <v>0.16200000000000001</v>
      </c>
      <c r="L15">
        <v>3.5</v>
      </c>
      <c r="M15" t="s">
        <v>1553</v>
      </c>
    </row>
    <row r="16" spans="1:13" x14ac:dyDescent="0.35">
      <c r="A16">
        <v>806</v>
      </c>
      <c r="B16" t="s">
        <v>1554</v>
      </c>
      <c r="C16">
        <v>756</v>
      </c>
      <c r="D16">
        <v>7</v>
      </c>
      <c r="E16" t="s">
        <v>17</v>
      </c>
      <c r="F16">
        <v>2.9</v>
      </c>
      <c r="G16">
        <v>1189</v>
      </c>
      <c r="H16">
        <v>40</v>
      </c>
      <c r="I16">
        <v>1200</v>
      </c>
      <c r="J16">
        <v>0.92</v>
      </c>
      <c r="K16">
        <v>0.16200000000000001</v>
      </c>
      <c r="L16">
        <v>3.5</v>
      </c>
      <c r="M16" t="s">
        <v>1555</v>
      </c>
    </row>
    <row r="17" spans="1:13" x14ac:dyDescent="0.35">
      <c r="A17">
        <v>805</v>
      </c>
      <c r="B17" t="s">
        <v>1556</v>
      </c>
      <c r="C17">
        <v>755</v>
      </c>
      <c r="D17">
        <v>4</v>
      </c>
      <c r="E17" t="s">
        <v>28</v>
      </c>
      <c r="F17">
        <v>2.4</v>
      </c>
      <c r="G17">
        <v>1188</v>
      </c>
      <c r="H17">
        <v>40</v>
      </c>
      <c r="I17">
        <v>1200</v>
      </c>
      <c r="J17">
        <v>1</v>
      </c>
      <c r="K17">
        <v>0.16200000000000001</v>
      </c>
      <c r="L17">
        <v>3.6</v>
      </c>
      <c r="M17" t="s">
        <v>1557</v>
      </c>
    </row>
    <row r="18" spans="1:13" x14ac:dyDescent="0.35">
      <c r="A18">
        <v>804</v>
      </c>
      <c r="B18" t="s">
        <v>1558</v>
      </c>
      <c r="C18">
        <v>754</v>
      </c>
      <c r="D18">
        <v>1</v>
      </c>
      <c r="E18" t="s">
        <v>41</v>
      </c>
      <c r="F18">
        <v>2.7</v>
      </c>
      <c r="G18">
        <v>1189</v>
      </c>
      <c r="H18">
        <v>40</v>
      </c>
      <c r="I18">
        <v>1200</v>
      </c>
      <c r="J18">
        <v>0.92</v>
      </c>
      <c r="K18">
        <v>0.16200000000000001</v>
      </c>
      <c r="L18">
        <v>3.6</v>
      </c>
      <c r="M18" t="s">
        <v>1559</v>
      </c>
    </row>
    <row r="19" spans="1:13" x14ac:dyDescent="0.35">
      <c r="A19">
        <v>803</v>
      </c>
      <c r="B19" t="s">
        <v>1560</v>
      </c>
      <c r="C19">
        <v>753</v>
      </c>
      <c r="D19">
        <v>3</v>
      </c>
      <c r="E19" t="s">
        <v>20</v>
      </c>
      <c r="F19">
        <v>1</v>
      </c>
      <c r="G19">
        <v>1185</v>
      </c>
      <c r="H19">
        <v>40</v>
      </c>
      <c r="I19">
        <v>1200</v>
      </c>
      <c r="J19">
        <v>1.25</v>
      </c>
      <c r="K19">
        <v>0.161</v>
      </c>
      <c r="L19">
        <v>3.6</v>
      </c>
      <c r="M19" t="s">
        <v>1561</v>
      </c>
    </row>
    <row r="20" spans="1:13" x14ac:dyDescent="0.35">
      <c r="A20">
        <v>802</v>
      </c>
      <c r="B20" t="s">
        <v>1562</v>
      </c>
      <c r="C20">
        <v>752</v>
      </c>
      <c r="D20">
        <v>5</v>
      </c>
      <c r="E20" t="s">
        <v>35</v>
      </c>
      <c r="F20">
        <v>1.1000000000000001</v>
      </c>
      <c r="G20">
        <v>1185</v>
      </c>
      <c r="H20">
        <v>40</v>
      </c>
      <c r="I20">
        <v>1200</v>
      </c>
      <c r="J20">
        <v>1.25</v>
      </c>
      <c r="K20">
        <v>0.161</v>
      </c>
      <c r="L20">
        <v>3.5</v>
      </c>
      <c r="M20" t="s">
        <v>1563</v>
      </c>
    </row>
    <row r="21" spans="1:13" x14ac:dyDescent="0.35">
      <c r="A21">
        <v>801</v>
      </c>
      <c r="B21" t="s">
        <v>1564</v>
      </c>
      <c r="C21">
        <v>751</v>
      </c>
      <c r="D21">
        <v>8</v>
      </c>
      <c r="E21" t="s">
        <v>38</v>
      </c>
      <c r="F21">
        <v>2.2999999999999998</v>
      </c>
      <c r="G21">
        <v>1183</v>
      </c>
      <c r="H21">
        <v>40</v>
      </c>
      <c r="I21">
        <v>1200</v>
      </c>
      <c r="J21">
        <v>1.42</v>
      </c>
      <c r="K21">
        <v>0.161</v>
      </c>
      <c r="L21">
        <v>3.5</v>
      </c>
      <c r="M21" t="s">
        <v>1565</v>
      </c>
    </row>
    <row r="23" spans="1:13" x14ac:dyDescent="0.35">
      <c r="A23" s="8" t="s">
        <v>1566</v>
      </c>
      <c r="B23" s="7">
        <v>0.65561342592592597</v>
      </c>
    </row>
    <row r="24" spans="1:13" x14ac:dyDescent="0.35">
      <c r="A24" s="8" t="s">
        <v>1567</v>
      </c>
      <c r="B24" s="7">
        <v>0.65787037037037033</v>
      </c>
    </row>
    <row r="25" spans="1:13" x14ac:dyDescent="0.35">
      <c r="A25" s="26" t="s">
        <v>1568</v>
      </c>
      <c r="B25" s="26" t="s">
        <v>1569</v>
      </c>
      <c r="C25" s="27" t="s">
        <v>1578</v>
      </c>
    </row>
    <row r="26" spans="1:13" ht="6.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8" spans="1:13" x14ac:dyDescent="0.35">
      <c r="A28" s="25" t="s">
        <v>1570</v>
      </c>
      <c r="B28" s="25" t="s">
        <v>1571</v>
      </c>
      <c r="C28" s="25" t="s">
        <v>1572</v>
      </c>
      <c r="D28" s="25" t="s">
        <v>6</v>
      </c>
      <c r="E28" s="25" t="s">
        <v>1573</v>
      </c>
    </row>
    <row r="29" spans="1:13" x14ac:dyDescent="0.35">
      <c r="A29" s="9">
        <v>1</v>
      </c>
      <c r="B29" s="10" t="s">
        <v>38</v>
      </c>
      <c r="C29" s="10">
        <v>2.2999999999999998</v>
      </c>
      <c r="D29" s="10">
        <v>1185</v>
      </c>
      <c r="E29" s="10">
        <v>0.16</v>
      </c>
    </row>
    <row r="30" spans="1:13" x14ac:dyDescent="0.35">
      <c r="A30" s="9">
        <v>2</v>
      </c>
      <c r="B30" s="10" t="s">
        <v>35</v>
      </c>
      <c r="C30" s="10">
        <v>1.1000000000000001</v>
      </c>
      <c r="D30" s="10">
        <v>1185</v>
      </c>
      <c r="E30" s="10">
        <v>0.16</v>
      </c>
    </row>
    <row r="31" spans="1:13" x14ac:dyDescent="0.35">
      <c r="A31" s="9">
        <v>3</v>
      </c>
      <c r="B31" s="10" t="s">
        <v>20</v>
      </c>
      <c r="C31" s="10">
        <v>1</v>
      </c>
      <c r="D31" s="10">
        <v>1188</v>
      </c>
      <c r="E31" s="10">
        <v>0.16</v>
      </c>
    </row>
    <row r="32" spans="1:13" x14ac:dyDescent="0.35">
      <c r="A32" s="9">
        <v>4</v>
      </c>
      <c r="B32" s="10" t="s">
        <v>41</v>
      </c>
      <c r="C32" s="10">
        <v>2.7</v>
      </c>
      <c r="D32" s="10">
        <v>1188</v>
      </c>
      <c r="E32" s="10">
        <v>0.16</v>
      </c>
    </row>
    <row r="33" spans="1:5" x14ac:dyDescent="0.35">
      <c r="A33" s="9">
        <v>5</v>
      </c>
      <c r="B33" s="10" t="s">
        <v>28</v>
      </c>
      <c r="C33" s="10">
        <v>2.4</v>
      </c>
      <c r="D33" s="10">
        <v>1189</v>
      </c>
      <c r="E33" s="10">
        <v>0.16</v>
      </c>
    </row>
    <row r="34" spans="1:5" x14ac:dyDescent="0.35">
      <c r="A34" s="9">
        <v>6</v>
      </c>
      <c r="B34" s="10" t="s">
        <v>17</v>
      </c>
      <c r="C34" s="10">
        <v>2.9</v>
      </c>
      <c r="D34" s="10">
        <v>1186</v>
      </c>
      <c r="E34" s="10">
        <v>0.16</v>
      </c>
    </row>
    <row r="35" spans="1:5" x14ac:dyDescent="0.35">
      <c r="A35" s="9">
        <v>7</v>
      </c>
      <c r="B35" s="10" t="s">
        <v>14</v>
      </c>
      <c r="C35" s="10">
        <v>1.2</v>
      </c>
      <c r="D35" s="10">
        <v>1188</v>
      </c>
      <c r="E35" s="10">
        <v>0.16</v>
      </c>
    </row>
    <row r="36" spans="1:5" x14ac:dyDescent="0.35">
      <c r="A36" s="9">
        <v>8</v>
      </c>
      <c r="B36" s="10" t="s">
        <v>44</v>
      </c>
      <c r="C36" s="10">
        <v>1.2</v>
      </c>
      <c r="D36" s="10">
        <v>1188</v>
      </c>
      <c r="E36" s="10">
        <v>0.16</v>
      </c>
    </row>
    <row r="37" spans="1:5" x14ac:dyDescent="0.35">
      <c r="A37" s="9">
        <v>9</v>
      </c>
      <c r="B37" s="10" t="s">
        <v>74</v>
      </c>
      <c r="C37" s="10">
        <v>1.3</v>
      </c>
      <c r="D37" s="10">
        <v>1190</v>
      </c>
      <c r="E37" s="10">
        <v>0.16</v>
      </c>
    </row>
    <row r="38" spans="1:5" x14ac:dyDescent="0.35">
      <c r="A38" s="9">
        <v>10</v>
      </c>
      <c r="B38" s="10" t="s">
        <v>38</v>
      </c>
      <c r="C38" s="10">
        <v>2.1</v>
      </c>
      <c r="D38" s="10">
        <v>1188</v>
      </c>
      <c r="E38" s="10">
        <v>0.16</v>
      </c>
    </row>
    <row r="39" spans="1:5" x14ac:dyDescent="0.35">
      <c r="A39" s="9">
        <v>11</v>
      </c>
      <c r="B39" s="10" t="s">
        <v>35</v>
      </c>
      <c r="C39" s="10">
        <v>1.2</v>
      </c>
      <c r="D39" s="10">
        <v>1188</v>
      </c>
      <c r="E39" s="10">
        <v>0.16</v>
      </c>
    </row>
    <row r="40" spans="1:5" x14ac:dyDescent="0.35">
      <c r="A40" s="9">
        <v>12</v>
      </c>
      <c r="B40" s="10" t="s">
        <v>20</v>
      </c>
      <c r="C40" s="10">
        <v>1</v>
      </c>
      <c r="D40" s="10">
        <v>1189</v>
      </c>
      <c r="E40" s="10">
        <v>0.16</v>
      </c>
    </row>
    <row r="41" spans="1:5" x14ac:dyDescent="0.35">
      <c r="A41" s="9">
        <v>13</v>
      </c>
      <c r="B41" s="10" t="s">
        <v>1574</v>
      </c>
      <c r="C41" s="10">
        <v>0</v>
      </c>
      <c r="D41" s="10">
        <v>1190</v>
      </c>
      <c r="E41" s="10">
        <v>0.16</v>
      </c>
    </row>
    <row r="42" spans="1:5" x14ac:dyDescent="0.35">
      <c r="A42" s="9">
        <v>14</v>
      </c>
      <c r="B42" s="10" t="s">
        <v>28</v>
      </c>
      <c r="C42" s="10">
        <v>2.5</v>
      </c>
      <c r="D42" s="10">
        <v>1190</v>
      </c>
      <c r="E42" s="10">
        <v>0.16</v>
      </c>
    </row>
    <row r="43" spans="1:5" x14ac:dyDescent="0.35">
      <c r="A43" s="9">
        <v>15</v>
      </c>
      <c r="B43" s="10" t="s">
        <v>17</v>
      </c>
      <c r="C43" s="10">
        <v>2.9</v>
      </c>
      <c r="D43" s="10">
        <v>1189</v>
      </c>
      <c r="E43" s="10">
        <v>0.16</v>
      </c>
    </row>
    <row r="44" spans="1:5" x14ac:dyDescent="0.35">
      <c r="A44" s="9">
        <v>16</v>
      </c>
      <c r="B44" s="10" t="s">
        <v>14</v>
      </c>
      <c r="C44" s="10">
        <v>1.4</v>
      </c>
      <c r="D44" s="10">
        <v>1189</v>
      </c>
      <c r="E44" s="10">
        <v>0.16</v>
      </c>
    </row>
    <row r="45" spans="1:5" x14ac:dyDescent="0.35">
      <c r="A45" s="9">
        <v>17</v>
      </c>
      <c r="B45" s="10" t="s">
        <v>44</v>
      </c>
      <c r="C45" s="10">
        <v>1.1000000000000001</v>
      </c>
      <c r="D45" s="10">
        <v>1189</v>
      </c>
      <c r="E45" s="10">
        <v>0.16</v>
      </c>
    </row>
    <row r="46" spans="1:5" x14ac:dyDescent="0.35">
      <c r="A46" s="9">
        <v>18</v>
      </c>
      <c r="B46" s="10" t="s">
        <v>74</v>
      </c>
      <c r="C46" s="10">
        <v>1.3</v>
      </c>
      <c r="D46" s="10">
        <v>1189</v>
      </c>
      <c r="E46" s="10">
        <v>0.16</v>
      </c>
    </row>
    <row r="47" spans="1:5" x14ac:dyDescent="0.35">
      <c r="A47" s="9">
        <v>19</v>
      </c>
      <c r="B47" s="10" t="s">
        <v>38</v>
      </c>
      <c r="C47" s="10">
        <v>2.1</v>
      </c>
      <c r="D47" s="10">
        <v>1190</v>
      </c>
      <c r="E47" s="10">
        <v>0.16</v>
      </c>
    </row>
    <row r="48" spans="1:5" x14ac:dyDescent="0.35">
      <c r="A48" s="9">
        <v>20</v>
      </c>
      <c r="B48" s="10" t="s">
        <v>35</v>
      </c>
      <c r="C48" s="10">
        <v>1</v>
      </c>
      <c r="D48" s="10">
        <v>1189</v>
      </c>
      <c r="E48" s="10">
        <v>0.16</v>
      </c>
    </row>
    <row r="49" spans="1:3" x14ac:dyDescent="0.35">
      <c r="A49" s="26" t="s">
        <v>1575</v>
      </c>
      <c r="B49" s="26" t="s">
        <v>1576</v>
      </c>
      <c r="C49" s="27" t="s">
        <v>1577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057A-E163-420B-98DF-0CE95C986CAA}">
  <sheetPr>
    <tabColor rgb="FF92D050"/>
  </sheetPr>
  <dimension ref="A1:J60"/>
  <sheetViews>
    <sheetView zoomScale="85" zoomScaleNormal="85" workbookViewId="0">
      <selection activeCell="F83" sqref="F83"/>
    </sheetView>
  </sheetViews>
  <sheetFormatPr defaultRowHeight="14.5" x14ac:dyDescent="0.35"/>
  <cols>
    <col min="1" max="1" width="21.26953125" customWidth="1"/>
    <col min="2" max="2" width="28.08984375" customWidth="1"/>
    <col min="3" max="3" width="31.08984375" customWidth="1"/>
    <col min="4" max="4" width="25.453125" customWidth="1"/>
    <col min="5" max="5" width="27.54296875" customWidth="1"/>
    <col min="6" max="6" width="28.08984375" customWidth="1"/>
    <col min="7" max="7" width="31.26953125" customWidth="1"/>
    <col min="8" max="8" width="26.453125" customWidth="1"/>
    <col min="9" max="9" width="17.90625" customWidth="1"/>
  </cols>
  <sheetData>
    <row r="1" spans="1:10" x14ac:dyDescent="0.35">
      <c r="A1" s="20" t="s">
        <v>1603</v>
      </c>
      <c r="B1" s="20" t="s">
        <v>1604</v>
      </c>
      <c r="C1" s="20" t="s">
        <v>1599</v>
      </c>
      <c r="D1" s="20" t="s">
        <v>1598</v>
      </c>
      <c r="E1" s="20" t="s">
        <v>1600</v>
      </c>
      <c r="F1" s="20" t="s">
        <v>1605</v>
      </c>
      <c r="G1" s="21" t="s">
        <v>1601</v>
      </c>
      <c r="H1" s="20" t="s">
        <v>1610</v>
      </c>
      <c r="I1" s="18"/>
      <c r="J1" s="18"/>
    </row>
    <row r="2" spans="1:10" x14ac:dyDescent="0.35">
      <c r="A2" s="16" t="s">
        <v>1596</v>
      </c>
      <c r="B2" s="29">
        <v>40</v>
      </c>
      <c r="C2" s="29">
        <v>20</v>
      </c>
      <c r="D2" s="16">
        <v>400</v>
      </c>
      <c r="E2" s="16">
        <v>20</v>
      </c>
      <c r="F2" s="16">
        <f>28800/E2</f>
        <v>1440</v>
      </c>
      <c r="G2" s="31">
        <f>(E2-E3)/E2</f>
        <v>0.51249999999999996</v>
      </c>
      <c r="H2" s="23" t="str">
        <f>"-"</f>
        <v>-</v>
      </c>
      <c r="I2" s="18"/>
      <c r="J2" s="18"/>
    </row>
    <row r="3" spans="1:10" x14ac:dyDescent="0.35">
      <c r="A3" s="16" t="s">
        <v>1597</v>
      </c>
      <c r="B3" s="30"/>
      <c r="C3" s="30"/>
      <c r="D3" s="16">
        <v>195</v>
      </c>
      <c r="E3" s="16">
        <v>9.75</v>
      </c>
      <c r="F3" s="17">
        <f>28800/E3</f>
        <v>2953.8461538461538</v>
      </c>
      <c r="G3" s="32"/>
      <c r="H3" s="23">
        <v>80670</v>
      </c>
      <c r="I3" s="18"/>
      <c r="J3" s="18"/>
    </row>
    <row r="4" spans="1:10" x14ac:dyDescent="0.35">
      <c r="A4" s="22"/>
      <c r="B4" s="22"/>
      <c r="C4" s="22"/>
      <c r="D4" s="22"/>
      <c r="E4" s="22"/>
      <c r="F4" s="22"/>
      <c r="G4" s="22"/>
      <c r="H4" s="22"/>
      <c r="I4" s="18"/>
    </row>
    <row r="5" spans="1:10" x14ac:dyDescent="0.35">
      <c r="A5" s="20" t="s">
        <v>1603</v>
      </c>
      <c r="B5" s="20" t="s">
        <v>1607</v>
      </c>
      <c r="C5" s="20" t="s">
        <v>1606</v>
      </c>
      <c r="D5" s="20" t="s">
        <v>1595</v>
      </c>
      <c r="E5" s="20" t="s">
        <v>1608</v>
      </c>
      <c r="F5" s="20" t="s">
        <v>1609</v>
      </c>
      <c r="G5" s="20" t="s">
        <v>1618</v>
      </c>
      <c r="H5" s="18"/>
      <c r="I5" s="18"/>
      <c r="J5" s="18"/>
    </row>
    <row r="6" spans="1:10" x14ac:dyDescent="0.35">
      <c r="A6" s="16" t="s">
        <v>1596</v>
      </c>
      <c r="B6" s="29">
        <v>8</v>
      </c>
      <c r="C6" s="29">
        <v>250</v>
      </c>
      <c r="D6" s="17" t="str">
        <f>"-"</f>
        <v>-</v>
      </c>
      <c r="E6" s="17" t="str">
        <f t="shared" ref="E6:G6" si="0">"-"</f>
        <v>-</v>
      </c>
      <c r="F6" s="17" t="str">
        <f t="shared" si="0"/>
        <v>-</v>
      </c>
      <c r="G6" s="17" t="str">
        <f t="shared" si="0"/>
        <v>-</v>
      </c>
      <c r="H6" s="18"/>
      <c r="I6" s="18"/>
      <c r="J6" s="18"/>
    </row>
    <row r="7" spans="1:10" x14ac:dyDescent="0.35">
      <c r="A7" s="16" t="s">
        <v>1597</v>
      </c>
      <c r="B7" s="30"/>
      <c r="C7" s="30"/>
      <c r="D7" s="17">
        <v>5</v>
      </c>
      <c r="E7" s="17">
        <f>H3/5</f>
        <v>16134</v>
      </c>
      <c r="F7" s="17">
        <f>E7/C6</f>
        <v>64.536000000000001</v>
      </c>
      <c r="G7" s="19">
        <f>F7/F3</f>
        <v>2.1848124999999999E-2</v>
      </c>
      <c r="H7" s="18"/>
      <c r="I7" s="18"/>
      <c r="J7" s="18"/>
    </row>
    <row r="8" spans="1:10" ht="15.5" x14ac:dyDescent="0.35">
      <c r="A8" s="18"/>
      <c r="B8" s="18"/>
      <c r="C8" s="18"/>
      <c r="D8" s="18"/>
      <c r="E8" s="18"/>
      <c r="F8" s="18"/>
      <c r="G8" s="18"/>
      <c r="H8" s="18"/>
      <c r="I8" s="15"/>
    </row>
    <row r="9" spans="1:10" ht="15.5" x14ac:dyDescent="0.35">
      <c r="A9" s="20" t="s">
        <v>1603</v>
      </c>
      <c r="B9" s="20" t="s">
        <v>1611</v>
      </c>
      <c r="C9" s="20" t="s">
        <v>1616</v>
      </c>
      <c r="D9" s="20" t="s">
        <v>1612</v>
      </c>
      <c r="E9" s="20" t="s">
        <v>1602</v>
      </c>
      <c r="F9" s="20" t="s">
        <v>1614</v>
      </c>
      <c r="G9" s="20" t="s">
        <v>1617</v>
      </c>
      <c r="H9" s="20" t="s">
        <v>1619</v>
      </c>
      <c r="I9" s="22"/>
      <c r="J9" s="15"/>
    </row>
    <row r="10" spans="1:10" ht="15.5" x14ac:dyDescent="0.35">
      <c r="A10" s="16" t="s">
        <v>1596</v>
      </c>
      <c r="B10" s="33">
        <v>4</v>
      </c>
      <c r="C10" s="35">
        <v>0.28000000000000003</v>
      </c>
      <c r="D10" s="16">
        <v>350</v>
      </c>
      <c r="E10" s="19">
        <f>D10/F2</f>
        <v>0.24305555555555555</v>
      </c>
      <c r="F10" s="16" t="str">
        <f>"-"</f>
        <v>-</v>
      </c>
      <c r="G10" s="19">
        <f>E10</f>
        <v>0.24305555555555555</v>
      </c>
      <c r="H10" s="37">
        <f>G10-G11</f>
        <v>9.9684513888888882E-2</v>
      </c>
      <c r="I10" s="22"/>
      <c r="J10" s="15"/>
    </row>
    <row r="11" spans="1:10" ht="15.5" x14ac:dyDescent="0.35">
      <c r="A11" s="16" t="s">
        <v>1597</v>
      </c>
      <c r="B11" s="34"/>
      <c r="C11" s="36"/>
      <c r="D11" s="16" t="str">
        <f>"-"</f>
        <v>-</v>
      </c>
      <c r="E11" s="19">
        <f>D10/F3</f>
        <v>0.11848958333333333</v>
      </c>
      <c r="F11" s="24">
        <f>(B10*C10*B6)/F3</f>
        <v>3.0333333333333336E-3</v>
      </c>
      <c r="G11" s="19">
        <f>E11+F11+G7</f>
        <v>0.14337104166666667</v>
      </c>
      <c r="H11" s="38"/>
      <c r="I11" s="22"/>
      <c r="J11" s="15"/>
    </row>
    <row r="12" spans="1:10" ht="15.5" x14ac:dyDescent="0.35">
      <c r="A12" s="18"/>
      <c r="B12" s="18"/>
      <c r="C12" s="18"/>
      <c r="D12" s="18"/>
      <c r="E12" s="18" t="s">
        <v>1613</v>
      </c>
      <c r="F12" s="18" t="s">
        <v>1615</v>
      </c>
      <c r="G12" s="18"/>
      <c r="H12" s="18"/>
      <c r="I12" s="18"/>
      <c r="J12" s="15"/>
    </row>
    <row r="13" spans="1:10" ht="15.5" x14ac:dyDescent="0.35">
      <c r="A13" s="20" t="s">
        <v>1603</v>
      </c>
      <c r="B13" s="21" t="s">
        <v>1620</v>
      </c>
      <c r="C13" s="21" t="s">
        <v>1621</v>
      </c>
      <c r="D13" s="18"/>
      <c r="E13" s="18"/>
      <c r="F13" s="18"/>
      <c r="G13" s="18"/>
      <c r="H13" s="18"/>
      <c r="I13" s="15"/>
    </row>
    <row r="14" spans="1:10" x14ac:dyDescent="0.35">
      <c r="A14" s="16" t="s">
        <v>1596</v>
      </c>
      <c r="B14" s="33">
        <f>H10*F3*C6</f>
        <v>73613.179487179485</v>
      </c>
      <c r="C14" s="35">
        <f>H3/B14</f>
        <v>1.0958635472884246</v>
      </c>
      <c r="D14" s="18"/>
      <c r="E14" s="18"/>
      <c r="F14" s="18"/>
      <c r="G14" s="18"/>
      <c r="H14" s="18"/>
    </row>
    <row r="15" spans="1:10" x14ac:dyDescent="0.35">
      <c r="A15" s="16" t="s">
        <v>1597</v>
      </c>
      <c r="B15" s="34"/>
      <c r="C15" s="36"/>
      <c r="D15" s="18"/>
      <c r="E15" s="18"/>
      <c r="F15" s="18"/>
      <c r="G15" s="18"/>
      <c r="H15" s="18"/>
    </row>
    <row r="16" spans="1:10" x14ac:dyDescent="0.35">
      <c r="A16" s="18"/>
      <c r="B16" s="18"/>
      <c r="C16" s="18" t="s">
        <v>1622</v>
      </c>
      <c r="D16" s="18"/>
      <c r="E16" s="18"/>
      <c r="F16" s="18"/>
      <c r="G16" s="18"/>
      <c r="H16" s="18"/>
    </row>
    <row r="17" spans="1:8" x14ac:dyDescent="0.35">
      <c r="A17" s="18"/>
      <c r="B17" s="18"/>
      <c r="C17" s="18"/>
      <c r="D17" s="18"/>
      <c r="E17" s="18"/>
      <c r="F17" s="18"/>
      <c r="G17" s="18"/>
      <c r="H17" s="18"/>
    </row>
    <row r="18" spans="1:8" x14ac:dyDescent="0.35">
      <c r="A18" s="18"/>
      <c r="B18" s="18"/>
      <c r="C18" s="18"/>
      <c r="D18" s="18"/>
      <c r="E18" s="18"/>
      <c r="F18" s="18"/>
      <c r="G18" s="18"/>
      <c r="H18" s="18"/>
    </row>
    <row r="19" spans="1:8" x14ac:dyDescent="0.35">
      <c r="A19" s="18"/>
      <c r="B19" s="18"/>
      <c r="C19" s="18"/>
      <c r="D19" s="18"/>
      <c r="E19" s="18"/>
      <c r="F19" s="18"/>
      <c r="G19" s="18"/>
      <c r="H19" s="18"/>
    </row>
    <row r="20" spans="1:8" x14ac:dyDescent="0.35">
      <c r="A20" s="18"/>
      <c r="B20" s="18"/>
      <c r="C20" s="18"/>
      <c r="D20" s="18"/>
      <c r="E20" s="18"/>
      <c r="F20" s="18"/>
      <c r="G20" s="18"/>
      <c r="H20" s="18"/>
    </row>
    <row r="21" spans="1:8" x14ac:dyDescent="0.35">
      <c r="A21" s="18"/>
      <c r="B21" s="18"/>
      <c r="C21" s="18"/>
      <c r="D21" s="18"/>
      <c r="E21" s="18"/>
      <c r="F21" s="18"/>
      <c r="G21" s="18"/>
      <c r="H21" s="18"/>
    </row>
    <row r="22" spans="1:8" x14ac:dyDescent="0.35">
      <c r="A22" s="18"/>
      <c r="B22" s="18"/>
      <c r="C22" s="18"/>
      <c r="D22" s="18"/>
      <c r="E22" s="18"/>
      <c r="F22" s="18"/>
      <c r="G22" s="18"/>
      <c r="H22" s="18"/>
    </row>
    <row r="23" spans="1:8" x14ac:dyDescent="0.35">
      <c r="A23" s="18"/>
      <c r="B23" s="18"/>
      <c r="C23" s="18"/>
      <c r="D23" s="18"/>
      <c r="E23" s="18"/>
      <c r="F23" s="18"/>
      <c r="G23" s="18"/>
      <c r="H23" s="18"/>
    </row>
    <row r="24" spans="1:8" x14ac:dyDescent="0.35">
      <c r="A24" s="18"/>
      <c r="B24" s="18"/>
      <c r="C24" s="18"/>
      <c r="D24" s="18"/>
      <c r="E24" s="18"/>
      <c r="F24" s="18"/>
      <c r="G24" s="18"/>
      <c r="H24" s="18"/>
    </row>
    <row r="25" spans="1:8" x14ac:dyDescent="0.35">
      <c r="A25" s="18"/>
      <c r="B25" s="18"/>
      <c r="C25" s="18"/>
      <c r="D25" s="18"/>
      <c r="E25" s="18"/>
      <c r="F25" s="18"/>
      <c r="G25" s="18"/>
      <c r="H25" s="18"/>
    </row>
    <row r="26" spans="1:8" x14ac:dyDescent="0.35">
      <c r="A26" s="18"/>
      <c r="B26" s="18"/>
      <c r="C26" s="18"/>
      <c r="D26" s="18"/>
      <c r="E26" s="18"/>
      <c r="F26" s="18"/>
      <c r="G26" s="18"/>
      <c r="H26" s="18"/>
    </row>
    <row r="27" spans="1:8" x14ac:dyDescent="0.35">
      <c r="A27" s="18"/>
      <c r="B27" s="18"/>
      <c r="C27" s="18"/>
      <c r="D27" s="18"/>
      <c r="E27" s="18"/>
      <c r="F27" s="18"/>
      <c r="G27" s="18"/>
      <c r="H27" s="18"/>
    </row>
    <row r="28" spans="1:8" x14ac:dyDescent="0.35">
      <c r="A28" s="18"/>
      <c r="B28" s="18"/>
      <c r="C28" s="18"/>
      <c r="D28" s="18"/>
      <c r="E28" s="18"/>
      <c r="F28" s="18"/>
      <c r="G28" s="18"/>
      <c r="H28" s="18"/>
    </row>
    <row r="29" spans="1:8" x14ac:dyDescent="0.35">
      <c r="A29" s="18"/>
      <c r="B29" s="18"/>
      <c r="C29" s="18"/>
      <c r="D29" s="18"/>
      <c r="E29" s="18"/>
      <c r="F29" s="18"/>
      <c r="G29" s="18"/>
      <c r="H29" s="18"/>
    </row>
    <row r="30" spans="1:8" x14ac:dyDescent="0.35">
      <c r="A30" s="18"/>
      <c r="B30" s="18"/>
      <c r="C30" s="18"/>
      <c r="D30" s="18"/>
      <c r="E30" s="18"/>
      <c r="F30" s="18"/>
      <c r="G30" s="18"/>
      <c r="H30" s="18"/>
    </row>
    <row r="31" spans="1:8" x14ac:dyDescent="0.35">
      <c r="A31" s="18"/>
      <c r="B31" s="18"/>
      <c r="C31" s="18"/>
      <c r="D31" s="18"/>
      <c r="E31" s="18"/>
      <c r="F31" s="18"/>
      <c r="G31" s="18"/>
      <c r="H31" s="18"/>
    </row>
    <row r="32" spans="1:8" x14ac:dyDescent="0.35">
      <c r="A32" s="18"/>
      <c r="B32" s="18"/>
      <c r="C32" s="18"/>
      <c r="D32" s="18"/>
      <c r="E32" s="18"/>
      <c r="F32" s="18"/>
      <c r="G32" s="18"/>
      <c r="H32" s="18"/>
    </row>
    <row r="33" spans="1:8" x14ac:dyDescent="0.35">
      <c r="A33" s="18"/>
      <c r="B33" s="18"/>
      <c r="C33" s="18"/>
      <c r="D33" s="18"/>
      <c r="E33" s="18"/>
      <c r="F33" s="18"/>
      <c r="G33" s="18"/>
      <c r="H33" s="18"/>
    </row>
    <row r="34" spans="1:8" x14ac:dyDescent="0.35">
      <c r="A34" s="18"/>
      <c r="B34" s="18"/>
      <c r="C34" s="18"/>
      <c r="D34" s="18"/>
      <c r="E34" s="18"/>
      <c r="F34" s="18"/>
      <c r="G34" s="18"/>
      <c r="H34" s="18"/>
    </row>
    <row r="35" spans="1:8" x14ac:dyDescent="0.35">
      <c r="A35" s="18"/>
      <c r="B35" s="18"/>
      <c r="C35" s="18"/>
      <c r="D35" s="18"/>
      <c r="E35" s="18"/>
      <c r="F35" s="18"/>
      <c r="G35" s="18"/>
      <c r="H35" s="18"/>
    </row>
    <row r="36" spans="1:8" x14ac:dyDescent="0.35">
      <c r="A36" s="18"/>
      <c r="B36" s="18"/>
      <c r="C36" s="18"/>
      <c r="D36" s="18"/>
      <c r="E36" s="18"/>
      <c r="F36" s="18"/>
      <c r="G36" s="18"/>
      <c r="H36" s="18"/>
    </row>
    <row r="37" spans="1:8" x14ac:dyDescent="0.35">
      <c r="A37" s="18"/>
      <c r="B37" s="18"/>
      <c r="C37" s="18"/>
      <c r="D37" s="18"/>
      <c r="E37" s="18"/>
      <c r="F37" s="18"/>
      <c r="G37" s="18"/>
      <c r="H37" s="18"/>
    </row>
    <row r="38" spans="1:8" x14ac:dyDescent="0.35">
      <c r="A38" s="18"/>
      <c r="B38" s="18"/>
      <c r="C38" s="18"/>
      <c r="D38" s="18"/>
      <c r="E38" s="18"/>
      <c r="F38" s="18"/>
      <c r="G38" s="18"/>
      <c r="H38" s="18"/>
    </row>
    <row r="39" spans="1:8" x14ac:dyDescent="0.35">
      <c r="A39" s="18"/>
      <c r="B39" s="18"/>
      <c r="C39" s="18"/>
      <c r="D39" s="18"/>
      <c r="E39" s="18"/>
      <c r="F39" s="18"/>
      <c r="G39" s="18"/>
      <c r="H39" s="18"/>
    </row>
    <row r="40" spans="1:8" x14ac:dyDescent="0.35">
      <c r="A40" s="18"/>
      <c r="B40" s="18"/>
      <c r="C40" s="18"/>
      <c r="D40" s="18"/>
      <c r="E40" s="18"/>
      <c r="F40" s="18"/>
      <c r="G40" s="18"/>
      <c r="H40" s="18"/>
    </row>
    <row r="41" spans="1:8" x14ac:dyDescent="0.35">
      <c r="A41" s="18"/>
      <c r="B41" s="18"/>
      <c r="C41" s="18"/>
      <c r="D41" s="18"/>
      <c r="E41" s="18"/>
      <c r="F41" s="18"/>
      <c r="G41" s="18"/>
      <c r="H41" s="18"/>
    </row>
    <row r="42" spans="1:8" x14ac:dyDescent="0.35">
      <c r="A42" s="18"/>
      <c r="B42" s="18"/>
      <c r="C42" s="18"/>
      <c r="D42" s="18"/>
      <c r="E42" s="18"/>
      <c r="F42" s="18"/>
      <c r="G42" s="18"/>
      <c r="H42" s="18"/>
    </row>
    <row r="43" spans="1:8" x14ac:dyDescent="0.35">
      <c r="A43" s="18"/>
      <c r="B43" s="18"/>
      <c r="C43" s="18"/>
      <c r="D43" s="18"/>
      <c r="E43" s="18"/>
      <c r="F43" s="18"/>
      <c r="G43" s="18"/>
      <c r="H43" s="18"/>
    </row>
    <row r="44" spans="1:8" x14ac:dyDescent="0.35">
      <c r="A44" s="18"/>
      <c r="B44" s="18"/>
      <c r="C44" s="18"/>
      <c r="D44" s="18"/>
      <c r="E44" s="18"/>
      <c r="F44" s="18"/>
      <c r="G44" s="18"/>
      <c r="H44" s="18"/>
    </row>
    <row r="45" spans="1:8" x14ac:dyDescent="0.35">
      <c r="A45" s="18"/>
      <c r="B45" s="18"/>
      <c r="C45" s="18"/>
      <c r="D45" s="18"/>
      <c r="E45" s="18"/>
      <c r="F45" s="18"/>
      <c r="G45" s="18"/>
      <c r="H45" s="18"/>
    </row>
    <row r="46" spans="1:8" x14ac:dyDescent="0.35">
      <c r="A46" s="18"/>
      <c r="B46" s="18"/>
      <c r="C46" s="18"/>
      <c r="D46" s="18"/>
      <c r="E46" s="18"/>
      <c r="F46" s="18"/>
      <c r="G46" s="18"/>
      <c r="H46" s="18"/>
    </row>
    <row r="54" spans="1:3" x14ac:dyDescent="0.35">
      <c r="A54" s="4" t="s">
        <v>1623</v>
      </c>
      <c r="B54" s="4" t="s">
        <v>1624</v>
      </c>
      <c r="C54" s="4" t="s">
        <v>1625</v>
      </c>
    </row>
    <row r="55" spans="1:3" x14ac:dyDescent="0.35">
      <c r="A55" s="4">
        <v>0</v>
      </c>
      <c r="B55" s="4">
        <f>-1*(H3)</f>
        <v>-80670</v>
      </c>
      <c r="C55" s="4">
        <f>B55</f>
        <v>-80670</v>
      </c>
    </row>
    <row r="56" spans="1:3" x14ac:dyDescent="0.35">
      <c r="A56" s="4">
        <v>1</v>
      </c>
      <c r="B56" s="28" t="str">
        <f>"+73,613"</f>
        <v>+73,613</v>
      </c>
      <c r="C56" s="28">
        <f>C55+B56</f>
        <v>-7057</v>
      </c>
    </row>
    <row r="57" spans="1:3" x14ac:dyDescent="0.35">
      <c r="A57" s="4">
        <v>2</v>
      </c>
      <c r="B57" s="28" t="str">
        <f t="shared" ref="B57:B60" si="1">"+73,613"</f>
        <v>+73,613</v>
      </c>
      <c r="C57" s="28">
        <f>C56+B57</f>
        <v>66556</v>
      </c>
    </row>
    <row r="58" spans="1:3" x14ac:dyDescent="0.35">
      <c r="A58" s="4">
        <v>3</v>
      </c>
      <c r="B58" s="28" t="str">
        <f t="shared" si="1"/>
        <v>+73,613</v>
      </c>
      <c r="C58" s="28">
        <f t="shared" ref="C58:C60" si="2">C57+B58</f>
        <v>140169</v>
      </c>
    </row>
    <row r="59" spans="1:3" x14ac:dyDescent="0.35">
      <c r="A59" s="4">
        <v>4</v>
      </c>
      <c r="B59" s="28" t="str">
        <f t="shared" si="1"/>
        <v>+73,613</v>
      </c>
      <c r="C59" s="28">
        <f t="shared" si="2"/>
        <v>213782</v>
      </c>
    </row>
    <row r="60" spans="1:3" x14ac:dyDescent="0.35">
      <c r="A60" s="4">
        <v>5</v>
      </c>
      <c r="B60" s="28" t="str">
        <f t="shared" si="1"/>
        <v>+73,613</v>
      </c>
      <c r="C60" s="28">
        <f t="shared" si="2"/>
        <v>287395</v>
      </c>
    </row>
  </sheetData>
  <mergeCells count="10">
    <mergeCell ref="H10:H11"/>
    <mergeCell ref="B14:B15"/>
    <mergeCell ref="C14:C15"/>
    <mergeCell ref="B6:B7"/>
    <mergeCell ref="C6:C7"/>
    <mergeCell ref="B2:B3"/>
    <mergeCell ref="C2:C3"/>
    <mergeCell ref="G2:G3"/>
    <mergeCell ref="B10:B11"/>
    <mergeCell ref="C10:C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750 Pieces</vt:lpstr>
      <vt:lpstr>750 Pieces (2)</vt:lpstr>
      <vt:lpstr>Results1</vt:lpstr>
      <vt:lpstr>Results2</vt:lpstr>
      <vt:lpstr>AI vs Human</vt:lpstr>
      <vt:lpstr>Worthiness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Taweewat Taweewithyakarn</cp:lastModifiedBy>
  <dcterms:created xsi:type="dcterms:W3CDTF">2026-09-03T12:50:04Z</dcterms:created>
  <dcterms:modified xsi:type="dcterms:W3CDTF">2026-09-15T20:30:42Z</dcterms:modified>
</cp:coreProperties>
</file>